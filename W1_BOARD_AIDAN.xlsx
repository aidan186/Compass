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" sheetId="1" r:id="rId5"/>
    <sheet state="visible" name="Market" sheetId="2" r:id="rId6"/>
    <sheet state="visible" name="Matches" sheetId="3" r:id="rId7"/>
    <sheet state="visible" name="Scorers" sheetId="4" r:id="rId8"/>
    <sheet state="visible" name="COMPS" sheetId="5" r:id="rId9"/>
    <sheet state="visible" name="LEDGER" sheetId="6" r:id="rId10"/>
    <sheet state="visible" name="Sheet22" sheetId="7" r:id="rId11"/>
    <sheet state="visible" name="CAMPUS" sheetId="8" r:id="rId12"/>
    <sheet state="visible" name="File_A" sheetId="9" r:id="rId13"/>
    <sheet state="visible" name="RADAR" sheetId="10" r:id="rId14"/>
    <sheet state="visible" name="LOG" sheetId="11" r:id="rId15"/>
    <sheet state="visible" name="CARD" sheetId="12" r:id="rId16"/>
    <sheet state="visible" name="DEADLINE (starter" sheetId="13" r:id="rId17"/>
    <sheet state="visible" name="DEADLINE" sheetId="14" r:id="rId18"/>
    <sheet state="visible" name="COMPASS" sheetId="15" r:id="rId19"/>
    <sheet state="visible" name="JOB" sheetId="16" r:id="rId20"/>
    <sheet state="visible" name="ROAM" sheetId="17" r:id="rId21"/>
    <sheet state="visible" name="TRAVEL_DATA" sheetId="18" r:id="rId22"/>
    <sheet state="visible" name="WAVE" sheetId="19" r:id="rId23"/>
    <sheet state="visible" name="TARGETS" sheetId="20" r:id="rId24"/>
    <sheet state="visible" name="PIPELINE" sheetId="21" r:id="rId25"/>
    <sheet state="visible" name="LEDGER 2" sheetId="22" r:id="rId26"/>
    <sheet state="visible" name="Sheet23" sheetId="23" r:id="rId27"/>
  </sheets>
  <definedNames/>
  <calcPr/>
</workbook>
</file>

<file path=xl/sharedStrings.xml><?xml version="1.0" encoding="utf-8"?>
<sst xmlns="http://schemas.openxmlformats.org/spreadsheetml/2006/main" count="1816" uniqueCount="821">
  <si>
    <t>PREDICTION</t>
  </si>
  <si>
    <t>BET 365</t>
  </si>
  <si>
    <t>VENUE</t>
  </si>
  <si>
    <t>WALL</t>
  </si>
  <si>
    <t>PRICE</t>
  </si>
  <si>
    <t>AK BETS</t>
  </si>
  <si>
    <t>DECIMAL</t>
  </si>
  <si>
    <t>IMPLIED</t>
  </si>
  <si>
    <t>BOOK</t>
  </si>
  <si>
    <t>BETFAIR</t>
  </si>
  <si>
    <t>RANK</t>
  </si>
  <si>
    <t>STATUS</t>
  </si>
  <si>
    <t>CHECKED</t>
  </si>
  <si>
    <t>Draftkings</t>
  </si>
  <si>
    <t>Ladbrokes</t>
  </si>
  <si>
    <t>Bet 365</t>
  </si>
  <si>
    <t>OPEN</t>
  </si>
  <si>
    <t>8/1</t>
  </si>
  <si>
    <t>BEST BACK</t>
  </si>
  <si>
    <t>EXCH LAY</t>
  </si>
  <si>
    <t>GAP %</t>
  </si>
  <si>
    <t>SEEN AT</t>
  </si>
  <si>
    <t>Team</t>
  </si>
  <si>
    <t>BET365 DEC</t>
  </si>
  <si>
    <t>BET365 IMPLIED</t>
  </si>
  <si>
    <t>AK BETS DEC</t>
  </si>
  <si>
    <t>AK BETS IMPLIED</t>
  </si>
  <si>
    <t>BETFAIR DEC</t>
  </si>
  <si>
    <t>BETFAIR IMPLIED</t>
  </si>
  <si>
    <t>DRAFTKINGS DEC</t>
  </si>
  <si>
    <t>DRAFTKINGS IMPLIED</t>
  </si>
  <si>
    <t>LADBROKES DEC</t>
  </si>
  <si>
    <t>LADBROKES IMPLIED</t>
  </si>
  <si>
    <t>WHO</t>
  </si>
  <si>
    <t>DEC</t>
  </si>
  <si>
    <t>Cole Palmer</t>
  </si>
  <si>
    <t>LIVE</t>
  </si>
  <si>
    <t>HOME</t>
  </si>
  <si>
    <t>12/5</t>
  </si>
  <si>
    <t>Arsenal</t>
  </si>
  <si>
    <t>BLOCKED</t>
  </si>
  <si>
    <t>NO ACCESS</t>
  </si>
  <si>
    <t>AK Bets</t>
  </si>
  <si>
    <t>9/1</t>
  </si>
  <si>
    <t>Aston Villa</t>
  </si>
  <si>
    <t>Betfair</t>
  </si>
  <si>
    <t>17/2</t>
  </si>
  <si>
    <t>Danny Welbeck</t>
  </si>
  <si>
    <t>Bournemouth</t>
  </si>
  <si>
    <t xml:space="preserve">PARTIAL — more scorers exist, real total higher. </t>
  </si>
  <si>
    <t>Rodrigo Muniz</t>
  </si>
  <si>
    <t>Jamie Gittens</t>
  </si>
  <si>
    <t>THE HONEST NUMBER  9.8%</t>
  </si>
  <si>
    <t>DRAW</t>
  </si>
  <si>
    <t>Brentford</t>
  </si>
  <si>
    <t>13/5</t>
  </si>
  <si>
    <t>BEST PAYOUT  9/1</t>
  </si>
  <si>
    <t>EDGE AT BEST PRICE -0.11pp</t>
  </si>
  <si>
    <t>Gonzalo Garcia</t>
  </si>
  <si>
    <t>Enzo Fernandez</t>
  </si>
  <si>
    <t>Brighton</t>
  </si>
  <si>
    <t>Oscar Bobb</t>
  </si>
  <si>
    <t>Mamadou Sarr</t>
  </si>
  <si>
    <t>Ladbrokes fancies Chelsea most at a 9.9% true probability</t>
  </si>
  <si>
    <t>33/1</t>
  </si>
  <si>
    <t>AWAY</t>
  </si>
  <si>
    <t>19/20</t>
  </si>
  <si>
    <t>Calvin Bassey</t>
  </si>
  <si>
    <t>40/1</t>
  </si>
  <si>
    <t>Chelsea</t>
  </si>
  <si>
    <t>No SCORER</t>
  </si>
  <si>
    <t>Fulham vs 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</si>
  <si>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</si>
  <si>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</si>
  <si>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</si>
  <si>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</si>
  <si>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</si>
  <si>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</si>
  <si>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</si>
  <si>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</si>
  <si>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</si>
  <si>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</si>
  <si>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</si>
  <si>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</si>
  <si>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</si>
  <si>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</t>
  </si>
  <si>
    <t>DATE</t>
  </si>
  <si>
    <t>TITLE</t>
  </si>
  <si>
    <t>SOLD (£)</t>
  </si>
  <si>
    <t>POSTAGE (£)</t>
  </si>
  <si>
    <t>Seller (UK)</t>
  </si>
  <si>
    <t>Link</t>
  </si>
  <si>
    <t>Pokémon Korean Munikis / Nihil Zero [M3] Booster Box</t>
  </si>
  <si>
    <t>Ebay</t>
  </si>
  <si>
    <t>https://www.ebay.co.uk/itm/257415479506?_skw=korean+pokemon+booster+box&amp;itmmeta=01M0CTJWS454E7H3TGB6Z8T11P&amp;hash=item3bef2880d2:g:uTsAAeSwv7lpvG5Q&amp;itmprp=enc%3AAQALAAAA8GfYFPkwiKCW4ZNSs2u11xAOe0Y58Js%2B8RHEq5TKs8wMXUMb3beNuLDqUuExKwTXVKoWWWUueiMT5F99hK5accjm1lOrwbttUJ%2BV8I34vz%2BmlnpQ83b1U--iayGn%2B0p6r2g89dEwQ%2BffpaGSWDeLSlsXIERxiYV5wyeLEUwW6lFF3I8mU0yRk1QHIZjdspPlfSOS6m8MqDoHaFMtXB8WINWQBJ7mfUG89slouFk%2FzYtxBZYw6NbVK64B5rtovdZlJIAB2EqAcU%2BUrfaBc2cSTS485O0eGigMZOd0b8oAbvD0cWiPybwjjpI4Vo1SR2kWJQ%3D%3D%7Ctkp%3ABFBM6szLmoNo</t>
  </si>
  <si>
    <t xml:space="preserve">Pokemon TCG | Nihil Zero | Munikis Zero | M3 | Korean | Booster Box </t>
  </si>
  <si>
    <t>Amazon</t>
  </si>
  <si>
    <t>https://www.amazon.co.uk/Pokemon-Munikis-M3-Booster-Collectors/dp/B0H37N66LC/ref=asc_df_B0H37N66LC?mcid=befdc165edbb3acfad3c53eb7ba906f5&amp;tag=googshopuk-21&amp;linkCode=df0&amp;hvadid=791198028413&amp;hvpos=&amp;hvnetw=g&amp;hvrand=16774976478424918764&amp;hvpone=&amp;hvptwo=&amp;hvqmt=&amp;hvdev=c&amp;hvdvcmdl=&amp;hvlocint=&amp;hvlocphy=9044956&amp;hvtargid=pla-2493029932772&amp;psc=1&amp;hvocijid=16774976478424918764-B0H37N66LC-&amp;hvexpln=0&amp;gad_source=1</t>
  </si>
  <si>
    <t>Pokemon TCG: Nihil Zero m3 - Korean Booster Box (30 Packs)</t>
  </si>
  <si>
    <t>Romulus Games</t>
  </si>
  <si>
    <t>https://romulusgames.com/products/pokemon-tcg-nihil-zero-m3-korean-booster-box?variant=56867831218553&amp;country=GB&amp;currency=GBP&amp;utm_medium=product_sync&amp;utm_source=google&amp;utm_content=sag_organic&amp;utm_campaign=sag_organic&amp;gad_source=1&amp;gad_campaignid=20585219644&amp;gbraid=0AAAAApH777K0fokTM5za5Rs05rz-fveve&amp;gclid=CjwKCAjwqJXUBhBNEiwA8BgG7uSRVQ4z-9z_6xslNDGygv5RBdgz10-SUkFXSRZp-d2-7fEzdKy3JRoCByAQAvD_BwE</t>
  </si>
  <si>
    <t>Pokémon Korean Munikis / Nihil Zero [M3] Booster Box (30 Packs)</t>
  </si>
  <si>
    <t>https://www.ebay.co.uk/itm/147403148576?_skw=Pok%C3%A9mon+Korean+Munikis+%2F+Nihil+Zero+%5BM3%5D+Booster+Box&amp;itmmeta=01M0CV3R2A2MYZ78QKCDBZ0JPY&amp;hash=item2251e98d20:g:BuAAAeSwlQtqQVCn&amp;itmprp=enc%3AAQALAAABEGfYFPkwiKCW4ZNSs2u11xC04i%2BbhZ9eovUPyp4BY5rumLEpnPmrrXtddn0gIe35QWBAeJMb9nKnc2MXMcs6kF0NoEEdlj9TUQr9MxgsuK4wCYVGHpDkLkA83g4bZvCWwa3P8YJ3paPvwo%2FQxv3QfXpRqqL2kNkry8V%2Fw2TGgWnFYv940ewIiGWBnCg8%2BWlXPtbkxsQNfQbiCjyUd5MRqHeJ0fyl%2BUhIt9tHXfkGHFInMXv4YmM9U0NPEHwhAZd7szwqFgTNDJcj%2FuRL2YrvQlrMBZk6HRNBcCnaGAUz3UcS--Xd%2BixhAkJC6d9VMHvOwIpCrr1hXg2hx0TOyThtZ3kin%2Fc7%2FB6vnZoufe0750Rq%7Ctkp%3ABk9SR8aBj5uDaA</t>
  </si>
  <si>
    <t>Pokémon Korean Munikis / Nihil Zero [M3] Booster Box (30 Packs) - New &amp; Sealed</t>
  </si>
  <si>
    <t>https://www.ebay.co.uk/itm/236848103670?_skw=Pok%C3%A9mon+Korean+Munikis+booster+box&amp;itmmeta=01M0CVAKR99V6JF7XDXWTHWJ99&amp;hash=item37253f40f6:g:0QQAAeSwS5JqHAsS&amp;itmprp=enc%3AAQALAAAA4GfYFPkwiKCW4ZNSs2u11xCJ3tsYl1tLw6U%2Bdonc36czC0JLTSwmqipIFNdQmMzpxLq5xUa8mfnOVjfnYdJDL0O7B6ATr6AE6IiM8VVwWhwMl1s12HJTTY%2Fa%2BbEKj%2B7XQAB%2FgFLDm2i0HYDRc1PCqTYaVdJd%2BBTtI3oUeWQAi7XbnMS6QLH%2B76OH436UmOHpAs%2BcYQZBgo6R2XaSTQxvE6o9t12qKYOsPhk8wwIXW7lp4WQ9inY33nQu6t1zUr9HoGHc9khKqiHFes1eD0RRGhLLy8htDwWNXBDR%2FrrLWxkt%7Ctkp%3ABk9SR_C8qpuDaA</t>
  </si>
  <si>
    <t>Munikis Zero ( Nihil Zero ) M3 Booster Box Sealed Pokemon Card Korean</t>
  </si>
  <si>
    <t>https://www.ebay.co.uk/itm/287474275860?_skw=Pok%C3%A9mon+Korean+Munikis+booster+box&amp;itmmeta=01M0CVAKR9QS66SQE1T55Q0VEK&amp;hash=item42eecd5614:g:hAcAAeSwR09psZzA&amp;itmprp=enc%3AAQALAAAA4GfYFPkwiKCW4ZNSs2u11xDhufR63EVsNQ2Rx9VdcxjU7IatzaqVoq5MnADiVWG1%2FCyrIEj4xf3z2pXQ1cy06yQ6eyY%2FPL1kR%2B1595Blo2gwc7XcTuVXpZov8DXbmTbN47vZlQ95d2oNBct1Dk2SS29QxPd6o2SqaUM3i8sAJK3dTVR8MxdOkk5ytTh%2BWzDi%2FctUZsGLOpV14cmy7rhmNuFk1KOAJPLZ11wn%2BRVyJztd2fO%2F8KR9DzSy4nO8fg5rS6p%2F1Pv8w0k%2FaX5ZE3V231TcFw0ydez6h4MPf61qOyC%2F%7Ctkp%3ABk9SR_C8qpuDaA</t>
  </si>
  <si>
    <t>https://www.ebay.co.uk/itm/178383913139?_skw=Pok%C3%A9mon+Korean+Munikis+booster+box&amp;itmmeta=01M0CVAKR9VY8YQF8W09HBAXDA&amp;hash=item29888280b3:g:-6gAAeSwrJFqdk26&amp;itmprp=enc%3AAQALAAABAGfYFPkwiKCW4ZNSs2u11xDRq06oRWd8NO7NxxtIutA95MKgvJwplUdI%2FIOR%2Bt5XdYX4TEunYkyeQOuzjQohNh0Y7V3I2YanWqPY8SXwSNiSqjdyziRBlz8tggW%2FAcVPoL80khBYs7FR6B8buf%2Fo9WZMLVA94emklwafVlMn%2Fi2lbeyoZgo6FTOm3crCsBD3YuRltr4V158xUMFMCBK%2FkudqrxksCQLiub7yD7NRd2kPyse7Xz1I4bTXxxPXyIC7%2F8Dm%2FAX7xFMEBpT1IV1Rfg8egpqGHWEfi88rt8caVG%2BVT5cDUzrkeT9YuKrrnhjKfSdmSjjRymzLlWkbU8R9btI%3D%7Ctkp%3ABk9SR_C8qpuDaA</t>
  </si>
  <si>
    <t>https://www.ebay.co.uk/itm/336728009466?_skw=Pok%C3%A9mon+Korean+Munikis+booster+box&amp;itmmeta=01M0CVAKR98098Y7B6NX6NJ1ZH&amp;hash=item4e668daafa:g:UXUAAeSw65Bqc2~Y&amp;itmprp=enc%3AAQALAAAA4GfYFPkwiKCW4ZNSs2u11xBHGC2pu2%2BWuVixxpTUmOluSewWntr%2FtCevCzMWInYYz7%2FUvmeVh67tlC783mAn94Ze7NjgGGD4YL07hx50XL6CsXLjOaTAqUBBBsSkURPvDzFfMYJM6BOqL1Mtbt5NLsvz4Oc%2FMKI%2BPOD3g%2F0NClDgVahSGFOxQ8SL0tQAavcIAlKcxQtwXwVjW5560gcH0NhC30RL9m1VQZwqKmKX6ciu8ajZTh0jTemq%2BnlJ%2Fhn9sR0brVdvqHgDLxXD8Ogwz8s%2Bio34j92pc3eZNzrn7PKW%7Ctkp%3ABk9SR_C8qpuDaA</t>
  </si>
  <si>
    <t>Pokémon Korean Munikis / Nihil Zero Booster Box (30 Packs)</t>
  </si>
  <si>
    <t>https://www.ebay.co.uk/itm/306859714047?_skw=Pok%C3%A9mon+Korean+Munikis+booster+box&amp;itmmeta=01M0CVAKR8T3797J8TK113AHNE&amp;hash=item477243a5ff:g:h0gAAeSwjAVpz--2&amp;itmprp=enc%3AAQALAAABAGfYFPkwiKCW4ZNSs2u11xBXFRXEw%2BMdhLObwP0abaUWTp48DSmZ%2FHzgOWZt36zFBhA9XJpLIbnK1aVoq2KaPYm0kw1Ca%2Fx00OII%2F4ZpLOGZs%2Fp2TgLZiXtEtSz9EeLgT56Kh2Iuzd%2FwVH0SuiDdMEiLiY6F2iNvOwPLWbgOtfqN4vj17GGALg6avQqtWtt9iqVG%2F8fVBycsBpaIYKLbTRNXUjoXiLAQOYMBiuoiMtIqWYPGAB9xyJyOXIl3Kbc4DO4hC2RdkYTugCBXRYdRgz%2FSUPBA8d44r5Z2c0dyQFIUEm0LSMgLKpL9Bht5k1VQW9M0%2Bc3fTLR%2BNeRjBP3rh3Q%3D%7Ctkp%3ABk9SR_C8qpuDaA</t>
  </si>
  <si>
    <t>Average Sold Price = £41.42</t>
  </si>
  <si>
    <t>Worst/lowest comp = £34.49</t>
  </si>
  <si>
    <t>ITEM</t>
  </si>
  <si>
    <t>PREDICTED</t>
  </si>
  <si>
    <t>ACTUAL</t>
  </si>
  <si>
    <t>eBay Sold Price £</t>
  </si>
  <si>
    <t>eBay Fee %</t>
  </si>
  <si>
    <t>Postage £</t>
  </si>
  <si>
    <t>Import VAT £</t>
  </si>
  <si>
    <t>Seoul → UK Shipping £</t>
  </si>
  <si>
    <t>FX Cost £</t>
  </si>
  <si>
    <t>Seoul Shelf Price ₩</t>
  </si>
  <si>
    <t>FX Rate ₩/£</t>
  </si>
  <si>
    <t>NET REALISABLE</t>
  </si>
  <si>
    <t>TOTAL COST</t>
  </si>
  <si>
    <t>MARGIN £</t>
  </si>
  <si>
    <t>MARGIN %</t>
  </si>
  <si>
    <t>BREAKEVEN SEOUL PRICE ₩</t>
  </si>
  <si>
    <t>INPUT CHECK</t>
  </si>
  <si>
    <t>VENTURE</t>
  </si>
  <si>
    <t>QUOTED PROFIT £</t>
  </si>
  <si>
    <t>TRUE COST £</t>
  </si>
  <si>
    <t>HOURS</t>
  </si>
  <si>
    <t>PROFIT £</t>
  </si>
  <si>
    <t>£ PER HOUR</t>
  </si>
  <si>
    <t>HONEST</t>
  </si>
  <si>
    <t>PRACTICE FILE — NOT LIVE</t>
  </si>
  <si>
    <t>VERDICT</t>
  </si>
  <si>
    <t>Car Washing</t>
  </si>
  <si>
    <t>`</t>
  </si>
  <si>
    <t>FILE A — REAL?</t>
  </si>
  <si>
    <t>FILE B — STALE?</t>
  </si>
  <si>
    <t>FILE C — EATEN?</t>
  </si>
  <si>
    <t>Match (invented): Everton v Crystal Palace · The outcome being priced: EVERTON TO WIN</t>
  </si>
  <si>
    <t>Match (invented): Fulham v Wolves   ·   The outcome being priced: THE DRAW</t>
  </si>
  <si>
    <t>Customers pay for convenience; equipment, location and travel make it difficult to offer cheaper washes profitably.</t>
  </si>
  <si>
    <t>DIG</t>
  </si>
  <si>
    <t>Match (invented): Sunderland v Brentford   ·   The outcome being priced: SUNDERLAND TO WIN</t>
  </si>
  <si>
    <t>Tutoring</t>
  </si>
  <si>
    <t>Invented prices — do not check them against live markets. Everything you need is on this sheet.</t>
  </si>
  <si>
    <t>Parents pay more for trusted tutors; reputation, qualifications and trust make it difficult for new tutors to compete.</t>
  </si>
  <si>
    <t>Reselling Clothes</t>
  </si>
  <si>
    <t>Cheap stock is scattered across marketplaces/charity shops; finding undervalued items takes time and product knowledge.</t>
  </si>
  <si>
    <t>Dog Walking</t>
  </si>
  <si>
    <t>SIDE</t>
  </si>
  <si>
    <t>PRICE (fraction)</t>
  </si>
  <si>
    <t>PRICE (decimal)</t>
  </si>
  <si>
    <t>TAKEN AT</t>
  </si>
  <si>
    <t>Owners need someone they trust with their pet/home; trust and reputation stop cheaper new competitors entering easily</t>
  </si>
  <si>
    <t>Betfred (bookie)</t>
  </si>
  <si>
    <t>DROP</t>
  </si>
  <si>
    <t>Bartender</t>
  </si>
  <si>
    <t>BACK</t>
  </si>
  <si>
    <t>Bet365 (bookie)</t>
  </si>
  <si>
    <t>Venues control hiring and require reliable/experienced staff; you cannot simply undercut their existing staffing arrangements.</t>
  </si>
  <si>
    <t xml:space="preserve">Social Media Management </t>
  </si>
  <si>
    <t>14/5</t>
  </si>
  <si>
    <t>3.80</t>
  </si>
  <si>
    <t>13:07</t>
  </si>
  <si>
    <t>31/10</t>
  </si>
  <si>
    <t>4.10</t>
  </si>
  <si>
    <t>14:03</t>
  </si>
  <si>
    <t>Smarkets (exchange)</t>
  </si>
  <si>
    <t>LAY</t>
  </si>
  <si>
    <t>—</t>
  </si>
  <si>
    <t>Businesses lack the time and skills to make consistent content; agencies can charge more because switching or doing it in-house takes effort.</t>
  </si>
  <si>
    <t>Betfair (exchange)</t>
  </si>
  <si>
    <t>Babysitting</t>
  </si>
  <si>
    <t>3.45</t>
  </si>
  <si>
    <t>12:39</t>
  </si>
  <si>
    <t>4.05</t>
  </si>
  <si>
    <t>Parents prioritise trust and recommendations over price; safeguarding and reputation make it hard for unknown cheaper sitters to compete.</t>
  </si>
  <si>
    <t>Exchange commission on winnings: 2%</t>
  </si>
  <si>
    <t xml:space="preserve">Video Editing </t>
  </si>
  <si>
    <t>Editing requires time, software and skill; clients pay more because learning it or hiring someone in-house is inconvenient.</t>
  </si>
  <si>
    <t>Wire note, 12:45 — Fulham starting XI announced: first-choice goalkeeper returns from injury.</t>
  </si>
  <si>
    <t>YOUR WORK — yellow cells only</t>
  </si>
  <si>
    <t>Back stake (given)</t>
  </si>
  <si>
    <t>Lay stake — reminder: back stake × back decimal ÷ (lay decimal − commission)</t>
  </si>
  <si>
    <t>BOOKIE £</t>
  </si>
  <si>
    <t>EXCHANGE £</t>
  </si>
  <si>
    <t>NET £</t>
  </si>
  <si>
    <t>IF EVERTON WIN</t>
  </si>
  <si>
    <t>IF SUNDERLAND WIN</t>
  </si>
  <si>
    <t>IF EVERTON DON'T WIN</t>
  </si>
  <si>
    <t>IF IT'S A DRAW</t>
  </si>
  <si>
    <t>LIVE Wed 10:38</t>
  </si>
  <si>
    <t>IF THEY DON'T</t>
  </si>
  <si>
    <t>COMMISSION</t>
  </si>
  <si>
    <t>LEAGUE</t>
  </si>
  <si>
    <t>Money you pay out goes in as a minus, e.g. -0.35 for a 35p loss.</t>
  </si>
  <si>
    <t>La Liga</t>
  </si>
  <si>
    <t>IF IT ISN'T</t>
  </si>
  <si>
    <t>MATCH</t>
  </si>
  <si>
    <t>OUTCOME</t>
  </si>
  <si>
    <t>BEST</t>
  </si>
  <si>
    <t>WHERE</t>
  </si>
  <si>
    <t>GAP</t>
  </si>
  <si>
    <t>RATING</t>
  </si>
  <si>
    <t>Real Madrid v Real Sociedad</t>
  </si>
  <si>
    <t>Real Madrid</t>
  </si>
  <si>
    <t>Grosvenor</t>
  </si>
  <si>
    <t>VERDICT (REAL / STALE / EATEN)</t>
  </si>
  <si>
    <t>REAL</t>
  </si>
  <si>
    <t>MATCH + OUTCOME</t>
  </si>
  <si>
    <t>YOUR CALL</t>
  </si>
  <si>
    <t>NET per side if commission were 0%</t>
  </si>
  <si>
    <t>PRICE AT KICK OFF</t>
  </si>
  <si>
    <t>RIGHT?</t>
  </si>
  <si>
    <t>ONE LINE OF PROOF</t>
  </si>
  <si>
    <t>Both prices were taken at 11:42 and both outcomes make a profit after 2% commission.</t>
  </si>
  <si>
    <t>STALE</t>
  </si>
  <si>
    <t>NET per side at the real 2%</t>
  </si>
  <si>
    <t>The lay price was taken at 12:39 before the 12:45 team news, while the back price was taken at 13:07 after the news.</t>
  </si>
  <si>
    <t>Same trade at £100 stakes — NET</t>
  </si>
  <si>
    <t>Then post the verdict + proof line in #trading-floor. 5 points a file.</t>
  </si>
  <si>
    <t>Draw</t>
  </si>
  <si>
    <t>LeoVegas</t>
  </si>
  <si>
    <t>EATEN</t>
  </si>
  <si>
    <t>Without commission the trade makes about £0.12 per side, but the real 2% commission turns it into about a £0.03 loss per side.</t>
  </si>
  <si>
    <t>Real Sociedad</t>
  </si>
  <si>
    <t>Betfred (UK)</t>
  </si>
  <si>
    <t>Celta Vigo v CA Osasuna</t>
  </si>
  <si>
    <t>Celta Vigo</t>
  </si>
  <si>
    <t>CA Osasuna</t>
  </si>
  <si>
    <t>Coral</t>
  </si>
  <si>
    <t>Barcelona v Athletic Bilbao</t>
  </si>
  <si>
    <t>Barcelona</t>
  </si>
  <si>
    <t>Athletic Bilbao</t>
  </si>
  <si>
    <t>Real Racing Club de Santander v Elche CF</t>
  </si>
  <si>
    <t>Real Racing Club de Santander</t>
  </si>
  <si>
    <t>Elche CF</t>
  </si>
  <si>
    <t>Alavés v Villarreal</t>
  </si>
  <si>
    <t>Alavés</t>
  </si>
  <si>
    <t>Villarreal</t>
  </si>
  <si>
    <t>IDEA</t>
  </si>
  <si>
    <t>Levante v Real Betis</t>
  </si>
  <si>
    <t>Levante</t>
  </si>
  <si>
    <t>KILLING FILTER</t>
  </si>
  <si>
    <t>Betfair Sportsbook</t>
  </si>
  <si>
    <t>DEADLINE — A one-screen tool that shows me exactly what uni work I need to do next, based on urgency and deadline</t>
  </si>
  <si>
    <t>SURVIVED</t>
  </si>
  <si>
    <t>MATCHDAY — A one-screen matchday tool that tells me the one football match most worth watching today and why.</t>
  </si>
  <si>
    <t>KILLED</t>
  </si>
  <si>
    <t>Problem — not a strong enough problem I actually have</t>
  </si>
  <si>
    <t>SPLIT — A one-screen tool for nights out that lets me enter a bill and instantly shows exactly what each mate owes.</t>
  </si>
  <si>
    <t>One action — splitting different bills can quickly require multiple inputs/actions</t>
  </si>
  <si>
    <t>PRODUCT CARD - DEADLINE</t>
  </si>
  <si>
    <t>WHAT IT DOES</t>
  </si>
  <si>
    <t>A one-screen tool that tells me which piece of uni work I should do next based on its deadline and urgency.</t>
  </si>
  <si>
    <t>THE MOMENT</t>
  </si>
  <si>
    <t>A student opens it when they sit down to work and don't know which assignment or task to start first.</t>
  </si>
  <si>
    <t>WHAT PEOPLE DO NOW</t>
  </si>
  <si>
    <t>Check different course pages, calendars and notes, then decide manually what is most urgent.</t>
  </si>
  <si>
    <t>THE 30 SECOND DEMO</t>
  </si>
  <si>
    <t>Real Betis</t>
  </si>
  <si>
    <t>Enter my current assignments and deadlines → press one button → the tool shows the task I should work on next.</t>
  </si>
  <si>
    <t xml:space="preserve">VERSION 1 </t>
  </si>
  <si>
    <t>Enter tasks and deadlines, then rank them by urgency and show the highest-priority task.</t>
  </si>
  <si>
    <t>DONE WHEN</t>
  </si>
  <si>
    <t>Tasks can be entered; deadlines are accepted; one action ranks them; the most urgent task is clearly shown; missing/invalid information produces a clear error.</t>
  </si>
  <si>
    <t>PITCH</t>
  </si>
  <si>
    <t>FUND</t>
  </si>
  <si>
    <t>TARGET DATE</t>
  </si>
  <si>
    <t>Real Sociedad v Espanyol</t>
  </si>
  <si>
    <t>WHAT WILL EXIST</t>
  </si>
  <si>
    <t>A working one-screen version of DEADLINE where I can enter tasks and deadlines, press one button, and it clearly shows me the most urgent task to work on next. Missing or invalid information will show a clear error.</t>
  </si>
  <si>
    <t>Espanyol</t>
  </si>
  <si>
    <t>Sevilla v Atlético Madrid</t>
  </si>
  <si>
    <t>Sevilla</t>
  </si>
  <si>
    <t>Atlético Madrid</t>
  </si>
  <si>
    <t>Unibet (UK)</t>
  </si>
  <si>
    <t>Real Madrid v Málaga</t>
  </si>
  <si>
    <t>Betway</t>
  </si>
  <si>
    <t>Málaga</t>
  </si>
  <si>
    <t>Deportivo La Coruña v Valencia</t>
  </si>
  <si>
    <t>Deportivo La Coruña</t>
  </si>
  <si>
    <t>Valencia</t>
  </si>
  <si>
    <t>Celta Vigo v Athletic Bilbao</t>
  </si>
  <si>
    <t>CA Osasuna v Getafe</t>
  </si>
  <si>
    <t>Getafe</t>
  </si>
  <si>
    <t>DEADLINE</t>
  </si>
  <si>
    <t>RANKED Wed 11:08</t>
  </si>
  <si>
    <t>WHAT SHOULD I DO NEXT</t>
  </si>
  <si>
    <t>Barcelona v Rayo Vallecano</t>
  </si>
  <si>
    <t>TASK</t>
  </si>
  <si>
    <t>URGENCY</t>
  </si>
  <si>
    <t>NEXT TASK</t>
  </si>
  <si>
    <t>SUBMIT PRESENTATION</t>
  </si>
  <si>
    <t>Rayo Vallecano</t>
  </si>
  <si>
    <t>Paddy Power</t>
  </si>
  <si>
    <t>HIGH</t>
  </si>
  <si>
    <t>NOT DONE</t>
  </si>
  <si>
    <t>FINISH ESSAY</t>
  </si>
  <si>
    <t>MEDIUM</t>
  </si>
  <si>
    <t>REVISE BUSINESS</t>
  </si>
  <si>
    <t>RANKED Wed 11:17</t>
  </si>
  <si>
    <t>DUE</t>
  </si>
  <si>
    <t>DAYS LEFT</t>
  </si>
  <si>
    <t>Submit Seminar reflection</t>
  </si>
  <si>
    <t>Speak to tutor about Extra Time</t>
  </si>
  <si>
    <t xml:space="preserve">Make accounting formula flashcards </t>
  </si>
  <si>
    <t>Complete Business Ethics quiz</t>
  </si>
  <si>
    <t>prepare questions for marketing seminar</t>
  </si>
  <si>
    <t>Qualitative Analysis revision for exam</t>
  </si>
  <si>
    <t>Work and Society group presentation</t>
  </si>
  <si>
    <t>Business Economics Coursework</t>
  </si>
  <si>
    <t>Dallas Cowboys v Philadelphia Eagles</t>
  </si>
  <si>
    <t>Philadelphia Eagles</t>
  </si>
  <si>
    <t>Buffalo Bills v Kansas City Chiefs</t>
  </si>
  <si>
    <t>Buffalo Bills</t>
  </si>
  <si>
    <t>Kansas City Chiefs</t>
  </si>
  <si>
    <t>Pittsburgh Steelers v Denver Broncos</t>
  </si>
  <si>
    <t>Pittsburgh Steelers</t>
  </si>
  <si>
    <t>Denver Broncos</t>
  </si>
  <si>
    <t>Minnesota Vikings v Atlanta Falcons</t>
  </si>
  <si>
    <t>Minnesota Vikings</t>
  </si>
  <si>
    <t>Atlanta Falcons</t>
  </si>
  <si>
    <t>Houston Texans v Baltimore Ravens</t>
  </si>
  <si>
    <t>Houston Texans</t>
  </si>
  <si>
    <t>Baltimore Ravens</t>
  </si>
  <si>
    <t>Cincinnati Bengals v New Orleans Saints</t>
  </si>
  <si>
    <t>Cincinnati Bengals</t>
  </si>
  <si>
    <t>New Orleans Saints</t>
  </si>
  <si>
    <t>Cleveland Browns v Las Vegas Raiders</t>
  </si>
  <si>
    <t>Cleveland Browns</t>
  </si>
  <si>
    <t>Las Vegas Raiders</t>
  </si>
  <si>
    <t>Indianapolis Colts v New York Giants</t>
  </si>
  <si>
    <t>Indianapolis Colts</t>
  </si>
  <si>
    <t>New York Giants</t>
  </si>
  <si>
    <t>Jacksonville Jaguars v Tennessee Titans</t>
  </si>
  <si>
    <t>Jacksonville Jaguars</t>
  </si>
  <si>
    <t>Tennessee Titans</t>
  </si>
  <si>
    <t>Miami Dolphins v New York Jets</t>
  </si>
  <si>
    <t>Miami Dolphins</t>
  </si>
  <si>
    <t>New York Jets</t>
  </si>
  <si>
    <t>Arizona Cardinals v Washington Commanders</t>
  </si>
  <si>
    <t>Arizona Cardinals</t>
  </si>
  <si>
    <t>Washington Commanders</t>
  </si>
  <si>
    <t>San Francisco 49ers v Seattle Seahawks</t>
  </si>
  <si>
    <t>San Francisco 49ers</t>
  </si>
  <si>
    <t>Seattle Seahawks</t>
  </si>
  <si>
    <t>Los Angeles Chargers v New England Patriots</t>
  </si>
  <si>
    <t>Los Angeles Chargers</t>
  </si>
  <si>
    <t>New England Patriots</t>
  </si>
  <si>
    <t>Tampa Bay Buccaneers v Carolina Panthers</t>
  </si>
  <si>
    <t>Tampa Bay Buccaneers</t>
  </si>
  <si>
    <t>Carolina Panthers</t>
  </si>
  <si>
    <t>Los Angeles Rams v Kansas City Chiefs</t>
  </si>
  <si>
    <t>Los Angeles Rams</t>
  </si>
  <si>
    <t>Atlanta Falcons v Detroit Lions</t>
  </si>
  <si>
    <t>Detroit Lions</t>
  </si>
  <si>
    <t>Chicago Bears v Jacksonville Jaguars</t>
  </si>
  <si>
    <t>Chicago Bears</t>
  </si>
  <si>
    <t>Cleveland Browns v Cincinnati Bengals</t>
  </si>
  <si>
    <t>Denver Broncos v Miami Dolphins</t>
  </si>
  <si>
    <t>New Orleans Saints v Green Bay Packers</t>
  </si>
  <si>
    <t>Green Bay Packers</t>
  </si>
  <si>
    <t>Tampa Bay Buccaneers v Los Angeles Chargers</t>
  </si>
  <si>
    <t>New York Giants v San Francisco 49ers</t>
  </si>
  <si>
    <t>Tennessee Titans v Washington Commanders</t>
  </si>
  <si>
    <t>Arizona Cardinals v Philadelphia Eagles</t>
  </si>
  <si>
    <t>New England Patriots v Buffalo Bills</t>
  </si>
  <si>
    <t>Minnesota Vikings v Carolina Panthers</t>
  </si>
  <si>
    <t>Pittsburgh Steelers v Houston Texans</t>
  </si>
  <si>
    <t>Seattle Seahawks v Dallas Cowboys</t>
  </si>
  <si>
    <t>Dallas Cowboys</t>
  </si>
  <si>
    <t>New England Patriots v Minnesota Vikings</t>
  </si>
  <si>
    <t>Cleveland Browns v Atlanta Falcons</t>
  </si>
  <si>
    <t>Baltimore Ravens v Tampa Bay Buccaneers</t>
  </si>
  <si>
    <t>Carolina Panthers v New Orleans Saints</t>
  </si>
  <si>
    <t>Miami Dolphins v Chicago Bears</t>
  </si>
  <si>
    <t>New York Jets v Denver Broncos</t>
  </si>
  <si>
    <t>Detroit Lions v Tennessee Titans</t>
  </si>
  <si>
    <t>Washington Commanders v Houston Texans</t>
  </si>
  <si>
    <t>Philadelphia Eagles v Indianapolis Colts</t>
  </si>
  <si>
    <t>Las Vegas Raiders v Los Angeles Chargers</t>
  </si>
  <si>
    <t>Cincinnati Bengals v Kansas City Chiefs</t>
  </si>
  <si>
    <t>San Francisco 49ers v Los Angeles Rams</t>
  </si>
  <si>
    <t>Seattle Seahawks v New York Giants</t>
  </si>
  <si>
    <t>Green Bay Packers v Buffalo Bills</t>
  </si>
  <si>
    <t>Jacksonville Jaguars v Pittsburgh Steelers</t>
  </si>
  <si>
    <t>Los Angeles Chargers v San Francisco 49ers</t>
  </si>
  <si>
    <t>Philadelphia Eagles v Seattle Seahawks</t>
  </si>
  <si>
    <t>Buffalo Bills v Chicago Bears</t>
  </si>
  <si>
    <t>Washington Commanders v Atlanta Falcons</t>
  </si>
  <si>
    <t>Pittsburgh Steelers v Baltimore Ravens</t>
  </si>
  <si>
    <t>Carolina Panthers v Cincinnati Bengals</t>
  </si>
  <si>
    <t>New York Giants v Cleveland Browns</t>
  </si>
  <si>
    <t>Green Bay Packers v Miami Dolphins</t>
  </si>
  <si>
    <t>Houston Texans v Jacksonville Jaguars</t>
  </si>
  <si>
    <t>Tennessee Titans v Indianapolis Colts</t>
  </si>
  <si>
    <t>Tampa Bay Buccaneers v New Orleans Saints</t>
  </si>
  <si>
    <t>Arizona Cardinals v New York Jets</t>
  </si>
  <si>
    <t>Los Angeles Rams v Dallas Cowboys</t>
  </si>
  <si>
    <t>Las Vegas Raiders v Denver Broncos</t>
  </si>
  <si>
    <t>Minnesota Vikings v Detroit Lions</t>
  </si>
  <si>
    <t>Kansas City Chiefs v New England Patriots</t>
  </si>
  <si>
    <t>Philadelphia Eagles v Houston Texans</t>
  </si>
  <si>
    <t>Chicago Bears v Green Bay Packers</t>
  </si>
  <si>
    <t>Denver Broncos v Buffalo Bills</t>
  </si>
  <si>
    <t>Seattle Seahawks v Los Angeles Rams</t>
  </si>
  <si>
    <t>New Orleans Saints v Arizona Cardinals</t>
  </si>
  <si>
    <t>Atlanta Falcons v Tampa Bay Buccaneers</t>
  </si>
  <si>
    <t>Baltimore Ravens v Cleveland Browns</t>
  </si>
  <si>
    <t>Pittsburgh Steelers v Carolina Panthers</t>
  </si>
  <si>
    <t>Indianapolis Colts v Cincinnati Bengals</t>
  </si>
  <si>
    <t>Las Vegas Raiders v Tennessee Titans</t>
  </si>
  <si>
    <t>Miami Dolphins v Los Angeles Chargers</t>
  </si>
  <si>
    <t>Minnesota Vikings v Washington Commanders</t>
  </si>
  <si>
    <t>New York Jets v New England Patriots</t>
  </si>
  <si>
    <t>Kansas City Chiefs v San Francisco 49ers</t>
  </si>
  <si>
    <t>Dallas Cowboys v Jacksonville Jaguars</t>
  </si>
  <si>
    <t>Detroit Lions v New York Giants</t>
  </si>
  <si>
    <t>Cincinnati Bengals v Baltimore Ravens</t>
  </si>
  <si>
    <t>Atlanta Falcons v New Orleans Saints</t>
  </si>
  <si>
    <t>Miami Dolphins v Buffalo Bills</t>
  </si>
  <si>
    <t>Carolina Panthers v Seattle Seahawks</t>
  </si>
  <si>
    <t>Cleveland Browns v Indianapolis Colts</t>
  </si>
  <si>
    <t>Dallas Cowboys v New York Giants</t>
  </si>
  <si>
    <t>New England Patriots v Denver Broncos</t>
  </si>
  <si>
    <t>COMPASS</t>
  </si>
  <si>
    <t>Jacksonville Jaguars v Washington Commanders</t>
  </si>
  <si>
    <t>Tampa Bay Buccaneers v Los Angeles Rams</t>
  </si>
  <si>
    <t>New York Jets v Minnesota Vikings</t>
  </si>
  <si>
    <t>Tennessee Titans v Pittsburgh Steelers</t>
  </si>
  <si>
    <t>WHAT SHOULD I AIM FOR NEXT?</t>
  </si>
  <si>
    <t>Arizona Cardinals v Las Vegas Raiders</t>
  </si>
  <si>
    <t>THE HOLIDAY JOB</t>
  </si>
  <si>
    <t>🎯 DO NOW</t>
  </si>
  <si>
    <t xml:space="preserve">WHY LAST TIME FAILED </t>
  </si>
  <si>
    <t>Chicago Bears v Detroit Lions</t>
  </si>
  <si>
    <t>GOAL</t>
  </si>
  <si>
    <t>GET PAID CHRISTMAS WORK</t>
  </si>
  <si>
    <t>PROBLEM</t>
  </si>
  <si>
    <t>ANSWER</t>
  </si>
  <si>
    <t>APPLICATION TARGET</t>
  </si>
  <si>
    <t>Los Angeles Chargers v Kansas City Chiefs</t>
  </si>
  <si>
    <t>When did i start applying?</t>
  </si>
  <si>
    <t xml:space="preserve">Start of summer holidays - most demand, lack of available jobs </t>
  </si>
  <si>
    <t>INTERVIEW/TRIAL TARGET</t>
  </si>
  <si>
    <t>Did I apply early enough?</t>
  </si>
  <si>
    <t>APPLICATIONS SENT</t>
  </si>
  <si>
    <t>Did I send enough applications?</t>
  </si>
  <si>
    <t>San Francisco 49ers v Philadelphia Eagles</t>
  </si>
  <si>
    <t>INTERVIEWS/TRIALS</t>
  </si>
  <si>
    <t>Was my CV tailored?</t>
  </si>
  <si>
    <t>JOB SECURED</t>
  </si>
  <si>
    <t>NO</t>
  </si>
  <si>
    <t>Did I know where to look?</t>
  </si>
  <si>
    <t>Did I follow applications up?</t>
  </si>
  <si>
    <t>Green Bay Packers v Houston Texans</t>
  </si>
  <si>
    <t>Why did other applicants beat me?</t>
  </si>
  <si>
    <t>MY TWO TARGETS</t>
  </si>
  <si>
    <t>BIGGEST PROBLEM</t>
  </si>
  <si>
    <t>Applied too late, should have applied earlier in the university year, in which i hadnt worked enough through the agency throughout the year or applied for enough jobs to get summer work.</t>
  </si>
  <si>
    <t>Carolina Panthers v Atlanta Falcons</t>
  </si>
  <si>
    <t>TARGET</t>
  </si>
  <si>
    <t>WHY I WANT IT</t>
  </si>
  <si>
    <t>Baltimore Ravens v Pittsburgh Steelers</t>
  </si>
  <si>
    <t>TARGET PAY</t>
  </si>
  <si>
    <t>🔥 MOST WANTED</t>
  </si>
  <si>
    <t>Your first job type</t>
  </si>
  <si>
    <t>Your second job type</t>
  </si>
  <si>
    <t>Buffalo Bills v New York Jets</t>
  </si>
  <si>
    <t>Minnesota Vikings v Chicago Bears</t>
  </si>
  <si>
    <t>💰 CURRENT FUNDS</t>
  </si>
  <si>
    <t>Cincinnati Bengals v Cleveland Browns</t>
  </si>
  <si>
    <t>Washington Commanders v Dallas Cowboys</t>
  </si>
  <si>
    <t>📅 BEST IN 1 YEAR</t>
  </si>
  <si>
    <t>Denver Broncos v Los Angeles Chargers</t>
  </si>
  <si>
    <t>Green Bay Packers v Detroit Lions</t>
  </si>
  <si>
    <t>💵 MONTHLY INCOME</t>
  </si>
  <si>
    <t>Houston Texans v Tennessee Titans</t>
  </si>
  <si>
    <t>🚀 BEST IN 3 YEARS</t>
  </si>
  <si>
    <t>Indianapolis Colts v Jacksonville Jaguars</t>
  </si>
  <si>
    <t>Kansas City Chiefs v Las Vegas Raiders</t>
  </si>
  <si>
    <t>New England Patriots v Miami Dolphins</t>
  </si>
  <si>
    <t>New Orleans Saints v Tampa Bay Buccaneers</t>
  </si>
  <si>
    <t>New York Giants v Philadelphia Eagles</t>
  </si>
  <si>
    <t>💸 MONTHLY SPARE MONEY</t>
  </si>
  <si>
    <t>QUICK WIN</t>
  </si>
  <si>
    <t>Arizona Cardinals v San Francisco 49ers</t>
  </si>
  <si>
    <t>⏰ FREE HOURS / WEEK</t>
  </si>
  <si>
    <t>🛟 CASH BUFFER</t>
  </si>
  <si>
    <t>Los Angeles Rams v Seattle Seahawks</t>
  </si>
  <si>
    <t>CATEGORY</t>
  </si>
  <si>
    <t>TIMEFRAME</t>
  </si>
  <si>
    <t>COST £</t>
  </si>
  <si>
    <t>HOURS/WEEK</t>
  </si>
  <si>
    <t>WANT /10</t>
  </si>
  <si>
    <t>MONEY /10</t>
  </si>
  <si>
    <t>TIME /10</t>
  </si>
  <si>
    <t>DIFFICULTY /10</t>
  </si>
  <si>
    <t>NOW /10</t>
  </si>
  <si>
    <t>1 YEAR /10</t>
  </si>
  <si>
    <t>3 YEARS /10</t>
  </si>
  <si>
    <t>PRIORITY</t>
  </si>
  <si>
    <t>BLOCKER</t>
  </si>
  <si>
    <t>NEXT MOVE</t>
  </si>
  <si>
    <t>FUNDING GAP</t>
  </si>
  <si>
    <t>Months to Afford</t>
  </si>
  <si>
    <t>WANT RANK</t>
  </si>
  <si>
    <t>1 YEAR PRIORITY</t>
  </si>
  <si>
    <t>3 YEAR PRIORITY</t>
  </si>
  <si>
    <t xml:space="preserve">Travel to Australia </t>
  </si>
  <si>
    <t>Travel</t>
  </si>
  <si>
    <t>1-3 YEARS</t>
  </si>
  <si>
    <t>DESTINATION</t>
  </si>
  <si>
    <t>TRAVEL SETTINGS</t>
  </si>
  <si>
    <t>COUNTRY/REGION</t>
  </si>
  <si>
    <t>CURRENT TRAVEL FUNDS</t>
  </si>
  <si>
    <t>WHEN I WANT TO GO</t>
  </si>
  <si>
    <t>WINTER</t>
  </si>
  <si>
    <t>MONTHLY TRAVEL SAVING</t>
  </si>
  <si>
    <t>TRIP LENGTH</t>
  </si>
  <si>
    <t>1 WEEK</t>
  </si>
  <si>
    <t>CASH BUFFER</t>
  </si>
  <si>
    <t>FLIGHTS £</t>
  </si>
  <si>
    <t>ACCOMODATION £</t>
  </si>
  <si>
    <t>Destination</t>
  </si>
  <si>
    <t>SPENDING £</t>
  </si>
  <si>
    <t>Country</t>
  </si>
  <si>
    <t>Region</t>
  </si>
  <si>
    <t>Accom/night</t>
  </si>
  <si>
    <t>Spend/day</t>
  </si>
  <si>
    <t>Flight from UK</t>
  </si>
  <si>
    <t>TOTAL COST £</t>
  </si>
  <si>
    <t>Best season</t>
  </si>
  <si>
    <t>Ideal days</t>
  </si>
  <si>
    <t>VALUE SCORE</t>
  </si>
  <si>
    <t>Sydney</t>
  </si>
  <si>
    <t>Australia</t>
  </si>
  <si>
    <t>Oceania</t>
  </si>
  <si>
    <t>UK WINTER</t>
  </si>
  <si>
    <t>WEATHER FIT /10</t>
  </si>
  <si>
    <t>AFFORDABILITY /10</t>
  </si>
  <si>
    <t>TIME FIT /10</t>
  </si>
  <si>
    <t>Melbourne</t>
  </si>
  <si>
    <t>East Coast Australia</t>
  </si>
  <si>
    <t>Auckland</t>
  </si>
  <si>
    <t>New Zealand</t>
  </si>
  <si>
    <t xml:space="preserve">OVERALL SCORE </t>
  </si>
  <si>
    <t>South Island</t>
  </si>
  <si>
    <t>Bangkok</t>
  </si>
  <si>
    <t>Thailand</t>
  </si>
  <si>
    <t>SE Asia</t>
  </si>
  <si>
    <t>Thai Islands</t>
  </si>
  <si>
    <t>Chiang Mai</t>
  </si>
  <si>
    <t>Bali</t>
  </si>
  <si>
    <t>Indonesia</t>
  </si>
  <si>
    <t>UK SUMMER</t>
  </si>
  <si>
    <t>Nusa Penida</t>
  </si>
  <si>
    <t>NIGHTS</t>
  </si>
  <si>
    <t>Hanoi</t>
  </si>
  <si>
    <t>Vietnam</t>
  </si>
  <si>
    <t>SPRING/AUTUMN</t>
  </si>
  <si>
    <t>Ho Chi Minh City</t>
  </si>
  <si>
    <t>Vietnam route</t>
  </si>
  <si>
    <t>SPRING</t>
  </si>
  <si>
    <t>Siem Reap</t>
  </si>
  <si>
    <t>Cambodia</t>
  </si>
  <si>
    <t>average budget-traveller accommodation cost per night for that destination</t>
  </si>
  <si>
    <t>Phnom Penh</t>
  </si>
  <si>
    <t>Laos route</t>
  </si>
  <si>
    <t>Laos</t>
  </si>
  <si>
    <t>SPEND £ / DAY</t>
  </si>
  <si>
    <t>Kuala Lumpur</t>
  </si>
  <si>
    <t>Malaysia</t>
  </si>
  <si>
    <t>ANY</t>
  </si>
  <si>
    <t>Singapore</t>
  </si>
  <si>
    <t>ACTUAL BEST SEASON</t>
  </si>
  <si>
    <t>Manila / Islands</t>
  </si>
  <si>
    <t>Philippines</t>
  </si>
  <si>
    <t>Tokyo</t>
  </si>
  <si>
    <t>Japan</t>
  </si>
  <si>
    <t>East Asia</t>
  </si>
  <si>
    <t>IDEAL TRIP DAYS</t>
  </si>
  <si>
    <t>Osaka</t>
  </si>
  <si>
    <t>Japan route</t>
  </si>
  <si>
    <t>SUGGESTED TRIP LENGTH</t>
  </si>
  <si>
    <t>Seoul</t>
  </si>
  <si>
    <t>South Korea</t>
  </si>
  <si>
    <t>Hong Kong</t>
  </si>
  <si>
    <t>AUTUMN</t>
  </si>
  <si>
    <t>Taipei</t>
  </si>
  <si>
    <t>Taiwan</t>
  </si>
  <si>
    <t>Delhi / Agra</t>
  </si>
  <si>
    <t>India</t>
  </si>
  <si>
    <t>South Asia</t>
  </si>
  <si>
    <t>Rajasthan</t>
  </si>
  <si>
    <t>MONTHS TO AFFORD</t>
  </si>
  <si>
    <t>Sri Lanka route</t>
  </si>
  <si>
    <t>Sri Lanka</t>
  </si>
  <si>
    <t>Kathmandu</t>
  </si>
  <si>
    <t>Nepal</t>
  </si>
  <si>
    <t>Dubai</t>
  </si>
  <si>
    <t>UAE</t>
  </si>
  <si>
    <t>Middle East</t>
  </si>
  <si>
    <t>Istanbul</t>
  </si>
  <si>
    <t>Turkey</t>
  </si>
  <si>
    <t>Europe/Asia</t>
  </si>
  <si>
    <t>ROAM DASHBOARD</t>
  </si>
  <si>
    <t>☀️ BEST SUMMER TRIP</t>
  </si>
  <si>
    <t>Athens</t>
  </si>
  <si>
    <t>Greece</t>
  </si>
  <si>
    <t>Europe</t>
  </si>
  <si>
    <t>SUMMER</t>
  </si>
  <si>
    <t>Greek Islands</t>
  </si>
  <si>
    <t>❄️ BEST WINTER TRIP</t>
  </si>
  <si>
    <t>Spain</t>
  </si>
  <si>
    <t>SPRING/SUMMER</t>
  </si>
  <si>
    <t>Madrid</t>
  </si>
  <si>
    <t>Ibiza</t>
  </si>
  <si>
    <t>🔥 DREAM TRIP</t>
  </si>
  <si>
    <t>Lisbon</t>
  </si>
  <si>
    <t>Portugal</t>
  </si>
  <si>
    <t>Porto</t>
  </si>
  <si>
    <t>💸 BEST VALUE</t>
  </si>
  <si>
    <t>Paris</t>
  </si>
  <si>
    <t>France</t>
  </si>
  <si>
    <t>Amsterdam</t>
  </si>
  <si>
    <t>Netherlands</t>
  </si>
  <si>
    <t>Berlin</t>
  </si>
  <si>
    <t>Germany</t>
  </si>
  <si>
    <t>Prague</t>
  </si>
  <si>
    <t>Czechia</t>
  </si>
  <si>
    <t>⚡ QUICK TRIP</t>
  </si>
  <si>
    <t>Budapest</t>
  </si>
  <si>
    <t>Hungary</t>
  </si>
  <si>
    <t>Krakow</t>
  </si>
  <si>
    <t>Poland</t>
  </si>
  <si>
    <t>💰 BEST TRIP I CAN AFFORD SOON</t>
  </si>
  <si>
    <t>Rome</t>
  </si>
  <si>
    <t>Italy</t>
  </si>
  <si>
    <t>Florence</t>
  </si>
  <si>
    <t>Amalfi Coast</t>
  </si>
  <si>
    <t>✅ BEST REALISTIC TRIP</t>
  </si>
  <si>
    <t>Croatia coast</t>
  </si>
  <si>
    <t>Croatia</t>
  </si>
  <si>
    <t>Split</t>
  </si>
  <si>
    <t>Dubrovnik</t>
  </si>
  <si>
    <t>Copenhagen</t>
  </si>
  <si>
    <t>Denmark</t>
  </si>
  <si>
    <t>Stockholm</t>
  </si>
  <si>
    <t>Sweden</t>
  </si>
  <si>
    <t>Iceland</t>
  </si>
  <si>
    <t>SUMMER/WINTER</t>
  </si>
  <si>
    <t>Swiss Alps</t>
  </si>
  <si>
    <t>Switzerland</t>
  </si>
  <si>
    <t>New York</t>
  </si>
  <si>
    <t>USA</t>
  </si>
  <si>
    <t>North America</t>
  </si>
  <si>
    <t>Los Angeles</t>
  </si>
  <si>
    <t>San Francisco</t>
  </si>
  <si>
    <t>SUMMER/AUTUMN</t>
  </si>
  <si>
    <t>Play tennis once a week</t>
  </si>
  <si>
    <t>Miami</t>
  </si>
  <si>
    <t>Hobby</t>
  </si>
  <si>
    <t>NOW</t>
  </si>
  <si>
    <t>USA West Coast</t>
  </si>
  <si>
    <t>Toronto</t>
  </si>
  <si>
    <t>Canada</t>
  </si>
  <si>
    <t>Vancouver</t>
  </si>
  <si>
    <t>Mexico City</t>
  </si>
  <si>
    <t>Mexico</t>
  </si>
  <si>
    <t>Central America</t>
  </si>
  <si>
    <t>Cancún / Yucatán</t>
  </si>
  <si>
    <t>Costa Rica</t>
  </si>
  <si>
    <t>Rio de Janeiro</t>
  </si>
  <si>
    <t>Brazil</t>
  </si>
  <si>
    <t>South America</t>
  </si>
  <si>
    <t>São Paulo</t>
  </si>
  <si>
    <t>Get a First in university second year</t>
  </si>
  <si>
    <t>Brazil route</t>
  </si>
  <si>
    <t>University</t>
  </si>
  <si>
    <t>THIS YEAR</t>
  </si>
  <si>
    <t>Buenos Aires</t>
  </si>
  <si>
    <t>Argentina</t>
  </si>
  <si>
    <t>Patagonia</t>
  </si>
  <si>
    <t>Argentina/Chile</t>
  </si>
  <si>
    <t>Santiago</t>
  </si>
  <si>
    <t>Chile</t>
  </si>
  <si>
    <t>Peru route</t>
  </si>
  <si>
    <t>Peru</t>
  </si>
  <si>
    <t>Machu Picchu/Cusco</t>
  </si>
  <si>
    <t>Colombia route</t>
  </si>
  <si>
    <t>Colombia</t>
  </si>
  <si>
    <t>Cape Town</t>
  </si>
  <si>
    <t>South Africa</t>
  </si>
  <si>
    <t>Africa</t>
  </si>
  <si>
    <t>Morocco route</t>
  </si>
  <si>
    <t>Morocco</t>
  </si>
  <si>
    <t>Marrakech</t>
  </si>
  <si>
    <t>Zanzibar</t>
  </si>
  <si>
    <t>Tanzania</t>
  </si>
  <si>
    <t>Kenya</t>
  </si>
  <si>
    <t>Save £2000</t>
  </si>
  <si>
    <t>Money</t>
  </si>
  <si>
    <t>1 YEAR</t>
  </si>
  <si>
    <t>Start at least 2 shifts a week at Univeristy (JOB)</t>
  </si>
  <si>
    <t>Career</t>
  </si>
  <si>
    <t>Tidy Room Daily</t>
  </si>
  <si>
    <t>Personal</t>
  </si>
  <si>
    <t>Look into USA semester/term abroad for 3rd year</t>
  </si>
  <si>
    <t>Go to the gym 4x a week</t>
  </si>
  <si>
    <t>Health/Fitness</t>
  </si>
  <si>
    <t>Give £20 money from weekly uni money to Mum</t>
  </si>
  <si>
    <t>Buy new clothes</t>
  </si>
  <si>
    <t>Get a summer internship</t>
  </si>
  <si>
    <t>CHANNEL</t>
  </si>
  <si>
    <t>SOCIAL /10</t>
  </si>
  <si>
    <t>PAY /10</t>
  </si>
  <si>
    <t>Update CV and Linkedin</t>
  </si>
  <si>
    <t>CHANCE /10</t>
  </si>
  <si>
    <t>SCORE</t>
  </si>
  <si>
    <t>EST DEMAND /10</t>
  </si>
  <si>
    <t>APPLICATION PRIORITY</t>
  </si>
  <si>
    <t>Christmas market staff</t>
  </si>
  <si>
    <t>Direct</t>
  </si>
  <si>
    <t>Learn Excel to an advanced level</t>
  </si>
  <si>
    <t>Attend every seminar for a term</t>
  </si>
  <si>
    <t>Winter attraction staff</t>
  </si>
  <si>
    <t>Stadium event crew</t>
  </si>
  <si>
    <t>ARC</t>
  </si>
  <si>
    <t>Event bar staff</t>
  </si>
  <si>
    <t>Read one business book per month</t>
  </si>
  <si>
    <t>Christmas retail assistant</t>
  </si>
  <si>
    <t>UNIVERSITY</t>
  </si>
  <si>
    <t>Ice rink staff</t>
  </si>
  <si>
    <t>TERM ENDS</t>
  </si>
  <si>
    <t>TERM STARTS</t>
  </si>
  <si>
    <t>SOURCE</t>
  </si>
  <si>
    <t>Concert/event crew</t>
  </si>
  <si>
    <t>Get consistently better sleep</t>
  </si>
  <si>
    <t>Hospitality event staff</t>
  </si>
  <si>
    <t>Hotel Christmas staff</t>
  </si>
  <si>
    <t>Warehouse Christmas staff</t>
  </si>
  <si>
    <t>Football hospitality staff</t>
  </si>
  <si>
    <t>LIVERPOOL</t>
  </si>
  <si>
    <t>Exhibition/event crew</t>
  </si>
  <si>
    <t>DC Site Services</t>
  </si>
  <si>
    <t>Visit 3 new countries</t>
  </si>
  <si>
    <t>https://www.liverpool.ac.uk/term-dates/</t>
  </si>
  <si>
    <t>New Year's Eve event staff</t>
  </si>
  <si>
    <t>Restaurant Christmas staff</t>
  </si>
  <si>
    <t>Luxury/flagship retail</t>
  </si>
  <si>
    <t>🎯 JOB TARGET DASHBOARD</t>
  </si>
  <si>
    <t>🥇 BEST TARGET</t>
  </si>
  <si>
    <t>Do a semester abroad</t>
  </si>
  <si>
    <t>💷 BEST PAY</t>
  </si>
  <si>
    <t>🎉 MOST SOCIAL</t>
  </si>
  <si>
    <t>🚪 BEST CHANCE</t>
  </si>
  <si>
    <t>NOTTINGHAM</t>
  </si>
  <si>
    <t>https://www.nottingham.ac.uk/about/keydates/index.aspx?utm_source=chatgpt.com</t>
  </si>
  <si>
    <t>🔥 HIGHEST DEMAND</t>
  </si>
  <si>
    <t>UCL</t>
  </si>
  <si>
    <t>https://www.ucl.ac.uk/study/current-students/life-ucl/term-dates-and-closures?utm_source=chatgpt.com</t>
  </si>
  <si>
    <t>KCL</t>
  </si>
  <si>
    <t>https://www.kcl.ac.uk/assets/aboutkings/pdf/committees/academic-board/agendas/2026/agenda-papers-15-apr-2026.pdf?utm_source=chatgpt.com</t>
  </si>
  <si>
    <t>IMPERIAL</t>
  </si>
  <si>
    <t>https://www.imperial.ac.uk/admin-services/registry/term-dates/?utm_source=chatgpt.com</t>
  </si>
  <si>
    <t>LSE</t>
  </si>
  <si>
    <t>https://info.lse.ac.uk/current-students/term-dates?utm_source=chatgpt.com</t>
  </si>
  <si>
    <t>HOLIDAY JOB PIPELINE</t>
  </si>
  <si>
    <t>AGENCY / EMPLOYER</t>
  </si>
  <si>
    <t>ROLE</t>
  </si>
  <si>
    <t>DATE FOUND</t>
  </si>
  <si>
    <t>REGISTERED?</t>
  </si>
  <si>
    <t>DOCS DONE?</t>
  </si>
  <si>
    <t>INDUCTION DONE?</t>
  </si>
  <si>
    <t>QUEEN MARY</t>
  </si>
  <si>
    <t>DATE APPLIED</t>
  </si>
  <si>
    <t>NEXT ACTION</t>
  </si>
  <si>
    <t>NEXT ACTION DATE</t>
  </si>
  <si>
    <t>https://www.qmul.ac.uk/about/calendar/?utm_source=chatgpt.com</t>
  </si>
  <si>
    <t>FIRST SHIFT BOOKED?</t>
  </si>
  <si>
    <t>SHIFT DATE</t>
  </si>
  <si>
    <t>NOTES</t>
  </si>
  <si>
    <t>AGENCY</t>
  </si>
  <si>
    <t>APPLIED</t>
  </si>
  <si>
    <t>MANCHESTER</t>
  </si>
  <si>
    <t>https://www.manchester.ac.uk/about/key-dates/?utm_source=chatgpt.com</t>
  </si>
  <si>
    <t>SHIFT LEDGER</t>
  </si>
  <si>
    <t>LEDGER SUMMARY</t>
  </si>
  <si>
    <t>AGENCY/EMPLOYER</t>
  </si>
  <si>
    <t>LOCATION</t>
  </si>
  <si>
    <t>HOURLY PAY</t>
  </si>
  <si>
    <t>TOTAL PAY</t>
  </si>
  <si>
    <t>BOOKER / PERSON</t>
  </si>
  <si>
    <t>RELIABILITY</t>
  </si>
  <si>
    <t>SHIFTS WORKED</t>
  </si>
  <si>
    <t>TOTAL HOURS</t>
  </si>
  <si>
    <t>MISSED SHIFTS</t>
  </si>
  <si>
    <t>LEEDS</t>
  </si>
  <si>
    <t>https://www.leeds.ac.uk/term-dates?utm_source=chatgpt.com</t>
  </si>
  <si>
    <t>BIRMINGHAM</t>
  </si>
  <si>
    <t>https://www.birmingham.ac.uk/postgraduate/courses/termdates?utm_source=chatgpt.com</t>
  </si>
  <si>
    <t>BRISTOL</t>
  </si>
  <si>
    <t>https://www.bristol.ac.uk/centre-for-study-abroad/inbound/study-abroad-programmes-at-bristol/study-abroad-dates/?utm_source=chatgpt.com</t>
  </si>
  <si>
    <t>WARWICK</t>
  </si>
  <si>
    <t>https://warwick.ac.uk/study/termdates/?utm_source=chatgpt.com</t>
  </si>
  <si>
    <t>DURHAM</t>
  </si>
  <si>
    <t>https://www.durham.ac.uk/academic-dates/</t>
  </si>
  <si>
    <t>EXETER</t>
  </si>
  <si>
    <t>https://www.exeter.ac.uk/about/term-dates/?utm_source=chatgpt.com</t>
  </si>
  <si>
    <t>NOTTINGHAM TRENT</t>
  </si>
  <si>
    <t>https://www.ntu.ac.uk/studenthub/my-course/timetables-dates-and-deadlines/term-dates?utm_source=chatgpt.com</t>
  </si>
  <si>
    <t>STUDENTS HOME</t>
  </si>
  <si>
    <t>OPPORTUNITY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</si>
</sst>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"/>
    <numFmt numFmtId="165" formatCode="0.0%"/>
    <numFmt numFmtId="166" formatCode="hh:mm"/>
    <numFmt numFmtId="167" formatCode="dd/mm/yy"/>
    <numFmt numFmtId="168" formatCode="&quot;£&quot;#,##0.00"/>
    <numFmt numFmtId="169" formatCode="&quot;£&quot;#,##0"/>
    <numFmt numFmtId="170" formatCode="£#,##0.00"/>
    <numFmt numFmtId="171" formatCode="dd/mm/yyyy"/>
    <numFmt numFmtId="172" formatCode="dd/MM/yyyy"/>
    <numFmt numFmtId="173" formatCode="d&quot; &quot;mmm&quot; &quot;yyyy"/>
    <numFmt numFmtId="174" formatCode="d/m/yyyy"/>
  </numFmts>
  <fonts count="37">
    <font>
      <sz val="10.0"/>
      <color rgb="FF000000"/>
      <name val="Arial"/>
      <scheme val="minor"/>
    </font>
    <font>
      <sz val="12.0"/>
      <color rgb="FFFFFFFF"/>
      <name val="-webkit-standard"/>
    </font>
    <font>
      <color rgb="FFFFFFFF"/>
      <name val="Arial"/>
      <scheme val="minor"/>
    </font>
    <font>
      <color theme="1"/>
      <name val="Arial"/>
      <scheme val="minor"/>
    </font>
    <font>
      <sz val="10.0"/>
      <color theme="1"/>
      <name val="Roboto Mono"/>
    </font>
    <font>
      <color theme="1"/>
      <name val="Roboto Mono"/>
    </font>
    <font>
      <b/>
      <sz val="12.0"/>
      <color rgb="FFFFFFFF"/>
      <name val="Arial"/>
      <scheme val="minor"/>
    </font>
    <font>
      <sz val="11.0"/>
      <color rgb="FFFFFFFF"/>
      <name val="Roboto Mono"/>
    </font>
    <font>
      <sz val="11.0"/>
      <color rgb="FF2DD881"/>
      <name val="Roboto Mono"/>
    </font>
    <font>
      <sz val="10.0"/>
      <color rgb="FF000000"/>
      <name val="Roboto Mono"/>
    </font>
    <font>
      <sz val="11.0"/>
      <color rgb="FFFFFFFF"/>
      <name val="Arial"/>
      <scheme val="minor"/>
    </font>
    <font>
      <sz val="11.0"/>
      <color rgb="FFFF4D4D"/>
      <name val="Roboto Mono"/>
    </font>
    <font>
      <sz val="11.0"/>
      <color rgb="FFFFB020"/>
      <name val="Roboto Mono"/>
    </font>
    <font>
      <sz val="11.0"/>
      <color theme="0"/>
      <name val="Roboto Mono"/>
    </font>
    <font>
      <sz val="11.0"/>
      <color rgb="FFFFB020"/>
      <name val="Arial"/>
      <scheme val="minor"/>
    </font>
    <font>
      <color rgb="FFFFB020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sz val="12.0"/>
      <color rgb="FFFFFFFF"/>
      <name val="Arial"/>
    </font>
    <font/>
    <font>
      <sz val="11.0"/>
      <color theme="1"/>
      <name val="Calibri"/>
    </font>
    <font>
      <b/>
      <sz val="14.0"/>
      <color theme="1"/>
      <name val="Arial"/>
    </font>
    <font>
      <sz val="11.0"/>
      <color theme="1"/>
      <name val="Arial"/>
    </font>
    <font>
      <i/>
      <sz val="9.0"/>
      <color rgb="FF666666"/>
      <name val="Arial"/>
    </font>
    <font>
      <sz val="11.0"/>
      <color rgb="FF000000"/>
      <name val="Calibri"/>
    </font>
    <font>
      <sz val="11.0"/>
      <color theme="1"/>
      <name val="&quot;Courier New&quot;"/>
    </font>
    <font>
      <sz val="11.0"/>
      <color theme="1"/>
      <name val="Courier New"/>
    </font>
    <font>
      <b/>
      <sz val="11.0"/>
      <color theme="1"/>
      <name val="Arial"/>
    </font>
    <font>
      <b/>
      <sz val="11.0"/>
      <color theme="1"/>
      <name val="&quot;Courier New&quot;"/>
    </font>
    <font>
      <b/>
      <sz val="11.0"/>
      <color theme="1"/>
      <name val="Courier New"/>
    </font>
    <font>
      <color rgb="FF0E1116"/>
      <name val="Arial"/>
      <scheme val="minor"/>
    </font>
    <font>
      <sz val="14.0"/>
      <color theme="1"/>
      <name val="Arial"/>
      <scheme val="minor"/>
    </font>
    <font>
      <b/>
      <color theme="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B0E12"/>
        <bgColor rgb="FF0B0E12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C00000"/>
        <bgColor rgb="FFC00000"/>
      </patternFill>
    </fill>
    <fill>
      <patternFill patternType="solid">
        <fgColor rgb="FF1F2430"/>
        <bgColor rgb="FF1F2430"/>
      </patternFill>
    </fill>
    <fill>
      <patternFill patternType="solid">
        <fgColor rgb="FFEFEFEF"/>
        <bgColor rgb="FFEFEFEF"/>
      </patternFill>
    </fill>
    <fill>
      <patternFill patternType="solid">
        <fgColor rgb="FFFFF2A8"/>
        <bgColor rgb="FFFFF2A8"/>
      </patternFill>
    </fill>
    <fill>
      <patternFill patternType="solid">
        <fgColor rgb="FF00E06A"/>
        <bgColor rgb="FF00E06A"/>
      </patternFill>
    </fill>
    <fill>
      <patternFill patternType="solid">
        <fgColor rgb="FF2DD881"/>
        <bgColor rgb="FF2DD881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2" fontId="2" numFmtId="49" xfId="0" applyFill="1" applyFont="1" applyNumberFormat="1"/>
    <xf borderId="0" fillId="0" fontId="4" numFmtId="0" xfId="0" applyFont="1"/>
    <xf borderId="0" fillId="0" fontId="3" numFmtId="49" xfId="0" applyFont="1" applyNumberFormat="1"/>
    <xf borderId="0" fillId="0" fontId="5" numFmtId="0" xfId="0" applyFont="1"/>
    <xf borderId="0" fillId="0" fontId="5" numFmtId="10" xfId="0" applyFont="1" applyNumberFormat="1"/>
    <xf borderId="0" fillId="0" fontId="4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4" numFmtId="10" xfId="0" applyFont="1" applyNumberFormat="1"/>
    <xf borderId="0" fillId="2" fontId="6" numFmtId="49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2" fontId="7" numFmtId="0" xfId="0" applyFill="1" applyFont="1"/>
    <xf borderId="0" fillId="0" fontId="3" numFmtId="10" xfId="0" applyFont="1" applyNumberFormat="1"/>
    <xf borderId="0" fillId="2" fontId="7" numFmtId="0" xfId="0" applyAlignment="1" applyFill="1" applyFont="1">
      <alignment readingOrder="0"/>
    </xf>
    <xf borderId="0" fillId="2" fontId="8" numFmtId="0" xfId="0" applyAlignment="1" applyFill="1" applyFont="1">
      <alignment readingOrder="0"/>
    </xf>
    <xf borderId="0" fillId="2" fontId="7" numFmtId="49" xfId="0" applyAlignment="1" applyFill="1" applyFont="1" applyNumberFormat="1">
      <alignment readingOrder="0"/>
    </xf>
    <xf borderId="0" fillId="0" fontId="9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2" fontId="7" numFmtId="2" xfId="0" applyAlignment="1" applyFill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2" fontId="7" numFmtId="165" xfId="0" applyAlignment="1" applyFill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2" xfId="0" applyFont="1" applyNumberFormat="1"/>
    <xf borderId="0" fillId="3" fontId="8" numFmtId="165" xfId="0" applyAlignment="1" applyFill="1" applyFont="1" applyNumberFormat="1">
      <alignment readingOrder="0"/>
    </xf>
    <xf borderId="0" fillId="2" fontId="7" numFmtId="166" xfId="0" applyAlignment="1" applyFill="1" applyFont="1" applyNumberFormat="1">
      <alignment readingOrder="0"/>
    </xf>
    <xf borderId="0" fillId="2" fontId="10" numFmtId="0" xfId="0" applyFill="1" applyFont="1"/>
    <xf borderId="0" fillId="0" fontId="4" numFmtId="166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2" fontId="11" numFmtId="0" xfId="0" applyAlignment="1" applyFill="1" applyFont="1">
      <alignment readingOrder="0"/>
    </xf>
    <xf borderId="0" fillId="2" fontId="7" numFmtId="10" xfId="0" applyAlignment="1" applyFill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3" numFmtId="0" xfId="0" applyFont="1"/>
    <xf borderId="0" fillId="2" fontId="12" numFmtId="49" xfId="0" applyAlignment="1" applyFill="1" applyFont="1" applyNumberFormat="1">
      <alignment readingOrder="0"/>
    </xf>
    <xf borderId="0" fillId="4" fontId="13" numFmtId="10" xfId="0" applyAlignment="1" applyFill="1" applyFont="1" applyNumberFormat="1">
      <alignment readingOrder="0"/>
    </xf>
    <xf borderId="0" fillId="0" fontId="9" numFmtId="2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2" fontId="12" numFmtId="0" xfId="0" applyFill="1" applyFont="1"/>
    <xf borderId="0" fillId="2" fontId="12" numFmtId="49" xfId="0" applyFill="1" applyFont="1" applyNumberFormat="1"/>
    <xf borderId="0" fillId="2" fontId="14" numFmtId="0" xfId="0" applyFill="1" applyFont="1"/>
    <xf borderId="0" fillId="2" fontId="14" numFmtId="49" xfId="0" applyFill="1" applyFont="1" applyNumberFormat="1"/>
    <xf borderId="0" fillId="2" fontId="15" numFmtId="0" xfId="0" applyFill="1" applyFont="1"/>
    <xf borderId="0" fillId="2" fontId="15" numFmtId="0" xfId="0" applyAlignment="1" applyFill="1" applyFont="1">
      <alignment readingOrder="0"/>
    </xf>
    <xf borderId="0" fillId="2" fontId="15" numFmtId="49" xfId="0" applyFill="1" applyFont="1" applyNumberFormat="1"/>
    <xf borderId="0" fillId="0" fontId="16" numFmtId="0" xfId="0" applyFont="1"/>
    <xf borderId="0" fillId="0" fontId="3" numFmtId="167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8" xfId="0" applyFont="1" applyNumberFormat="1"/>
    <xf borderId="0" fillId="0" fontId="3" numFmtId="169" xfId="0" applyFont="1" applyNumberFormat="1"/>
    <xf borderId="0" fillId="0" fontId="3" numFmtId="4" xfId="0" applyAlignment="1" applyFont="1" applyNumberFormat="1">
      <alignment readingOrder="0"/>
    </xf>
    <xf borderId="0" fillId="5" fontId="20" numFmtId="0" xfId="0" applyAlignment="1" applyFill="1" applyFont="1">
      <alignment horizontal="center" readingOrder="0" shrinkToFit="0" vertical="bottom" wrapText="0"/>
    </xf>
    <xf borderId="1" fillId="5" fontId="20" numFmtId="0" xfId="0" applyAlignment="1" applyBorder="1" applyFill="1" applyFont="1">
      <alignment horizontal="center" vertical="bottom"/>
    </xf>
    <xf borderId="2" fillId="0" fontId="21" numFmtId="0" xfId="0" applyBorder="1" applyFont="1"/>
    <xf borderId="3" fillId="0" fontId="21" numFmtId="0" xfId="0" applyBorder="1" applyFont="1"/>
    <xf borderId="0" fillId="0" fontId="22" numFmtId="0" xfId="0" applyAlignment="1" applyFont="1">
      <alignment vertical="bottom"/>
    </xf>
    <xf borderId="0" fillId="0" fontId="23" numFmtId="0" xfId="0" applyAlignment="1" applyFont="1">
      <alignment readingOrder="0" shrinkToFit="0" vertical="bottom" wrapText="0"/>
    </xf>
    <xf borderId="0" fillId="0" fontId="23" numFmtId="0" xfId="0" applyAlignment="1" applyFont="1">
      <alignment vertical="bottom"/>
    </xf>
    <xf borderId="0" fillId="0" fontId="24" numFmtId="0" xfId="0" applyAlignment="1" applyFont="1">
      <alignment readingOrder="0" shrinkToFit="0" vertical="bottom" wrapText="0"/>
    </xf>
    <xf borderId="0" fillId="0" fontId="24" numFmtId="0" xfId="0" applyAlignment="1" applyFont="1">
      <alignment vertical="bottom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vertical="bottom"/>
    </xf>
    <xf borderId="0" fillId="0" fontId="26" numFmtId="0" xfId="0" applyAlignment="1" applyFont="1">
      <alignment shrinkToFit="0" vertical="bottom" wrapText="0"/>
    </xf>
    <xf borderId="4" fillId="6" fontId="20" numFmtId="0" xfId="0" applyAlignment="1" applyBorder="1" applyFill="1" applyFont="1">
      <alignment readingOrder="0" shrinkToFit="0" vertical="bottom" wrapText="0"/>
    </xf>
    <xf borderId="4" fillId="6" fontId="20" numFmtId="0" xfId="0" applyAlignment="1" applyBorder="1" applyFill="1" applyFont="1">
      <alignment vertical="bottom"/>
    </xf>
    <xf borderId="4" fillId="0" fontId="24" numFmtId="0" xfId="0" applyAlignment="1" applyBorder="1" applyFont="1">
      <alignment readingOrder="0" shrinkToFit="0" vertical="bottom" wrapText="0"/>
    </xf>
    <xf borderId="4" fillId="0" fontId="27" numFmtId="164" xfId="0" applyAlignment="1" applyBorder="1" applyFont="1" applyNumberFormat="1">
      <alignment readingOrder="0" shrinkToFit="0" vertical="bottom" wrapText="0"/>
    </xf>
    <xf borderId="4" fillId="0" fontId="27" numFmtId="0" xfId="0" applyAlignment="1" applyBorder="1" applyFont="1">
      <alignment readingOrder="0" shrinkToFit="0" vertical="bottom" wrapText="0"/>
    </xf>
    <xf borderId="4" fillId="0" fontId="27" numFmtId="166" xfId="0" applyAlignment="1" applyBorder="1" applyFont="1" applyNumberFormat="1">
      <alignment readingOrder="0" shrinkToFit="0" vertical="bottom" wrapText="0"/>
    </xf>
    <xf borderId="4" fillId="0" fontId="24" numFmtId="0" xfId="0" applyAlignment="1" applyBorder="1" applyFont="1">
      <alignment vertical="bottom"/>
    </xf>
    <xf borderId="4" fillId="0" fontId="28" numFmtId="0" xfId="0" applyAlignment="1" applyBorder="1" applyFont="1">
      <alignment vertical="bottom"/>
    </xf>
    <xf borderId="0" fillId="0" fontId="29" numFmtId="0" xfId="0" applyAlignment="1" applyFont="1">
      <alignment readingOrder="0" shrinkToFit="0" vertical="bottom" wrapText="0"/>
    </xf>
    <xf borderId="0" fillId="0" fontId="29" numFmtId="0" xfId="0" applyAlignment="1" applyFont="1">
      <alignment vertical="bottom"/>
    </xf>
    <xf borderId="0" fillId="0" fontId="17" numFmtId="0" xfId="0" applyFont="1"/>
    <xf borderId="0" fillId="0" fontId="16" numFmtId="0" xfId="0" applyAlignment="1" applyFont="1">
      <alignment vertical="bottom"/>
    </xf>
    <xf borderId="0" fillId="7" fontId="29" numFmtId="0" xfId="0" applyAlignment="1" applyFill="1" applyFont="1">
      <alignment readingOrder="0" shrinkToFit="0" vertical="bottom" wrapText="0"/>
    </xf>
    <xf borderId="5" fillId="7" fontId="29" numFmtId="0" xfId="0" applyAlignment="1" applyBorder="1" applyFill="1" applyFont="1">
      <alignment vertical="bottom"/>
    </xf>
    <xf borderId="4" fillId="0" fontId="30" numFmtId="168" xfId="0" applyAlignment="1" applyBorder="1" applyFont="1" applyNumberFormat="1">
      <alignment horizontal="right" readingOrder="0" shrinkToFit="0" vertical="bottom" wrapText="0"/>
    </xf>
    <xf borderId="4" fillId="0" fontId="31" numFmtId="170" xfId="0" applyAlignment="1" applyBorder="1" applyFont="1" applyNumberFormat="1">
      <alignment horizontal="right" vertical="bottom"/>
    </xf>
    <xf borderId="4" fillId="8" fontId="26" numFmtId="168" xfId="0" applyAlignment="1" applyBorder="1" applyFill="1" applyFont="1" applyNumberFormat="1">
      <alignment shrinkToFit="0" vertical="bottom" wrapText="0"/>
    </xf>
    <xf borderId="4" fillId="8" fontId="22" numFmtId="170" xfId="0" applyAlignment="1" applyBorder="1" applyFill="1" applyFont="1" applyNumberFormat="1">
      <alignment vertical="bottom"/>
    </xf>
    <xf borderId="4" fillId="6" fontId="20" numFmtId="0" xfId="0" applyAlignment="1" applyBorder="1" applyFill="1" applyFont="1">
      <alignment shrinkToFit="0" vertical="bottom" wrapText="0"/>
    </xf>
    <xf borderId="4" fillId="6" fontId="22" numFmtId="0" xfId="0" applyAlignment="1" applyBorder="1" applyFill="1" applyFont="1">
      <alignment vertical="bottom"/>
    </xf>
    <xf borderId="4" fillId="0" fontId="29" numFmtId="0" xfId="0" applyAlignment="1" applyBorder="1" applyFont="1">
      <alignment readingOrder="0" shrinkToFit="0" vertical="bottom" wrapText="0"/>
    </xf>
    <xf borderId="4" fillId="0" fontId="29" numFmtId="0" xfId="0" applyAlignment="1" applyBorder="1" applyFont="1">
      <alignment vertical="bottom"/>
    </xf>
    <xf borderId="0" fillId="9" fontId="3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4" fillId="8" fontId="26" numFmtId="0" xfId="0" applyAlignment="1" applyBorder="1" applyFill="1" applyFont="1">
      <alignment readingOrder="0" shrinkToFit="0" vertical="bottom" wrapText="0"/>
    </xf>
    <xf borderId="4" fillId="8" fontId="22" numFmtId="170" xfId="0" applyAlignment="1" applyBorder="1" applyFill="1" applyFont="1" applyNumberFormat="1">
      <alignment readingOrder="0" vertical="bottom"/>
    </xf>
    <xf borderId="6" fillId="8" fontId="26" numFmtId="0" xfId="0" applyAlignment="1" applyBorder="1" applyFill="1" applyFont="1">
      <alignment readingOrder="0" shrinkToFit="0" vertical="bottom" wrapText="0"/>
    </xf>
    <xf borderId="7" fillId="0" fontId="21" numFmtId="0" xfId="0" applyBorder="1" applyFont="1"/>
    <xf borderId="8" fillId="0" fontId="21" numFmtId="0" xfId="0" applyBorder="1" applyFont="1"/>
    <xf borderId="4" fillId="8" fontId="22" numFmtId="0" xfId="0" applyAlignment="1" applyBorder="1" applyFill="1" applyFont="1">
      <alignment readingOrder="0" vertical="bottom"/>
    </xf>
    <xf borderId="6" fillId="8" fontId="22" numFmtId="0" xfId="0" applyAlignment="1" applyBorder="1" applyFill="1" applyFont="1">
      <alignment readingOrder="0" vertical="bottom"/>
    </xf>
    <xf borderId="0" fillId="0" fontId="3" numFmtId="17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2" xfId="0" applyFont="1" applyNumberFormat="1"/>
    <xf borderId="0" fillId="0" fontId="3" numFmtId="172" xfId="0" applyAlignment="1" applyFont="1" applyNumberFormat="1">
      <alignment readingOrder="0"/>
    </xf>
    <xf borderId="0" fillId="0" fontId="33" numFmtId="0" xfId="0" applyFont="1"/>
    <xf borderId="0" fillId="0" fontId="33" numFmtId="172" xfId="0" applyFont="1" applyNumberFormat="1"/>
    <xf borderId="0" fillId="4" fontId="34" numFmtId="0" xfId="0" applyAlignment="1" applyFill="1" applyFont="1">
      <alignment readingOrder="0"/>
    </xf>
    <xf borderId="0" fillId="4" fontId="34" numFmtId="0" xfId="0" applyFill="1" applyFont="1"/>
    <xf borderId="0" fillId="0" fontId="35" numFmtId="0" xfId="0" applyAlignment="1" applyFont="1">
      <alignment readingOrder="0" shrinkToFit="0" wrapText="1"/>
    </xf>
    <xf borderId="0" fillId="0" fontId="36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right" readingOrder="0"/>
    </xf>
    <xf borderId="0" fillId="0" fontId="3" numFmtId="169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0"/>
    </xf>
    <xf borderId="0" fillId="0" fontId="3" numFmtId="173" xfId="0" applyAlignment="1" applyFont="1" applyNumberFormat="1">
      <alignment readingOrder="0"/>
    </xf>
    <xf borderId="0" fillId="0" fontId="3" numFmtId="173" xfId="0" applyFont="1" applyNumberFormat="1"/>
    <xf borderId="0" fillId="10" fontId="3" numFmtId="0" xfId="0" applyAlignment="1" applyFill="1" applyFont="1">
      <alignment readingOrder="0"/>
    </xf>
    <xf borderId="0" fillId="0" fontId="3" numFmtId="174" xfId="0" applyAlignment="1" applyFont="1" applyNumberFormat="1">
      <alignment readingOrder="0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10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E06A"/>
          <bgColor rgb="FF00E06A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2DD881"/>
          <bgColor rgb="FF2DD88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8"/>
          <bgColor theme="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WAVE!$E$19:$O$19</c:f>
              <c:numCache/>
            </c:numRef>
          </c:val>
          <c:smooth val="0"/>
        </c:ser>
        <c:axId val="673309439"/>
        <c:axId val="1609281665"/>
      </c:lineChart>
      <c:catAx>
        <c:axId val="673309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9281665"/>
      </c:catAx>
      <c:valAx>
        <c:axId val="1609281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309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3990975</xdr:colOff>
      <xdr:row>25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bay.co.uk/itm/257415479506?_skw=korean+pokemon+booster+box&amp;itmmeta=01M0CTJWS454E7H3TGB6Z8T11P&amp;hash=item3bef2880d2:g:uTsAAeSwv7lpvG5Q&amp;itmprp=enc%3AAQALAAAA8GfYFPkwiKCW4ZNSs2u11xAOe0Y58Js%2B8RHEq5TKs8wMXUMb3beNuLDqUuExKwTXVKoWWWUueiMT5F99hK5accjm1lOrwbttUJ%2BV8I34vz%2BmlnpQ83b1U--iayGn%2B0p6r2g89dEwQ%2BffpaGSWDeLSlsXIERxiYV5wyeLEUwW6lFF3I8mU0yRk1QHIZjdspPlfSOS6m8MqDoHaFMtXB8WINWQBJ7mfUG89slouFk%2FzYtxBZYw6NbVK64B5rtovdZlJIAB2EqAcU%2BUrfaBc2cSTS485O0eGigMZOd0b8oAbvD0cWiPybwjjpI4Vo1SR2kWJQ%3D%3D%7Ctkp%3ABFBM6szLmoNo" TargetMode="External"/><Relationship Id="rId2" Type="http://schemas.openxmlformats.org/officeDocument/2006/relationships/hyperlink" Target="https://www.amazon.co.uk/Pokemon-Munikis-M3-Booster-Collectors/dp/B0H37N66LC/ref=asc_df_B0H37N66LC?mcid=befdc165edbb3acfad3c53eb7ba906f5&amp;tag=googshopuk-21&amp;linkCode=df0&amp;hvadid=791198028413&amp;hvpos=&amp;hvnetw=g&amp;hvrand=16774976478424918764&amp;hvpone=&amp;hvptwo=&amp;hvqmt=&amp;hvdev=c&amp;hvdvcmdl=&amp;hvlocint=&amp;hvlocphy=9044956&amp;hvtargid=pla-2493029932772&amp;psc=1&amp;hvocijid=16774976478424918764-B0H37N66LC-&amp;hvexpln=0&amp;gad_source=1" TargetMode="External"/><Relationship Id="rId3" Type="http://schemas.openxmlformats.org/officeDocument/2006/relationships/hyperlink" Target="https://romulusgames.com/products/pokemon-tcg-nihil-zero-m3-korean-booster-box?variant=56867831218553&amp;country=GB&amp;currency=GBP&amp;utm_medium=product_sync&amp;utm_source=google&amp;utm_content=sag_organic&amp;utm_campaign=sag_organic&amp;gad_source=1&amp;gad_campaignid=20585219644&amp;gbraid=0AAAAApH777K0fokTM5za5Rs05rz-fveve&amp;gclid=CjwKCAjwqJXUBhBNEiwA8BgG7uSRVQ4z-9z_6xslNDGygv5RBdgz10-SUkFXSRZp-d2-7fEzdKy3JRoCByAQAvD_BwE" TargetMode="External"/><Relationship Id="rId4" Type="http://schemas.openxmlformats.org/officeDocument/2006/relationships/hyperlink" Target="https://www.ebay.co.uk/itm/147403148576?_skw=Pok%C3%A9mon+Korean+Munikis+%2F+Nihil+Zero+%5BM3%5D+Booster+Box&amp;itmmeta=01M0CV3R2A2MYZ78QKCDBZ0JPY&amp;hash=item2251e98d20:g:BuAAAeSwlQtqQVCn&amp;itmprp=enc%3AAQALAAABEGfYFPkwiKCW4ZNSs2u11xC04i%2BbhZ9eovUPyp4BY5rumLEpnPmrrXtddn0gIe35QWBAeJMb9nKnc2MXMcs6kF0NoEEdlj9TUQr9MxgsuK4wCYVGHpDkLkA83g4bZvCWwa3P8YJ3paPvwo%2FQxv3QfXpRqqL2kNkry8V%2Fw2TGgWnFYv940ewIiGWBnCg8%2BWlXPtbkxsQNfQbiCjyUd5MRqHeJ0fyl%2BUhIt9tHXfkGHFInMXv4YmM9U0NPEHwhAZd7szwqFgTNDJcj%2FuRL2YrvQlrMBZk6HRNBcCnaGAUz3UcS--Xd%2BixhAkJC6d9VMHvOwIpCrr1hXg2hx0TOyThtZ3kin%2Fc7%2FB6vnZoufe0750Rq%7Ctkp%3ABk9SR8aBj5uDaA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https://www.ebay.co.uk/itm/306859714047?_skw=Pok%C3%A9mon+Korean+Munikis+booster+box&amp;itmmeta=01M0CVAKR8T3797J8TK113AHNE&amp;hash=item477243a5ff:g:h0gAAeSwjAVpz--2&amp;itmprp=enc%3AAQALAAABAGfYFPkwiKCW4ZNSs2u11xBXFRXEw%2BMdhLObwP0abaUWTp48DSmZ%2FHzgOWZt36zFBhA9XJpLIbnK1aVoq2KaPYm0kw1Ca%2Fx00OII%2F4ZpLOGZs%2Fp2TgLZiXtEtSz9EeLgT56Kh2Iuzd%2FwVH0SuiDdMEiLiY6F2iNvOwPLWbgOtfqN4vj17GGALg6avQqtWtt9iqVG%2F8fVBycsBpaIYKLbTRNXUjoXiLAQOYMBiuoiMtIqWYPGAB9xyJyOXIl3Kbc4DO4hC2RdkYTugCBXRYdRgz%2FSUPBA8d44r5Z2c0dyQFIUEm0LSMgLKpL9Bht5k1VQW9M0%2Bc3fTLR%2BNeRjBP3rh3Q%3D%7Ctkp%3ABk9SR_C8qpuDaA" TargetMode="External"/><Relationship Id="rId5" Type="http://schemas.openxmlformats.org/officeDocument/2006/relationships/hyperlink" Target="https://www.ebay.co.uk/itm/236848103670?_skw=Pok%C3%A9mon+Korean+Munikis+booster+box&amp;itmmeta=01M0CVAKR99V6JF7XDXWTHWJ99&amp;hash=item37253f40f6:g:0QQAAeSwS5JqHAsS&amp;itmprp=enc%3AAQALAAAA4GfYFPkwiKCW4ZNSs2u11xCJ3tsYl1tLw6U%2Bdonc36czC0JLTSwmqipIFNdQmMzpxLq5xUa8mfnOVjfnYdJDL0O7B6ATr6AE6IiM8VVwWhwMl1s12HJTTY%2Fa%2BbEKj%2B7XQAB%2FgFLDm2i0HYDRc1PCqTYaVdJd%2BBTtI3oUeWQAi7XbnMS6QLH%2B76OH436UmOHpAs%2BcYQZBgo6R2XaSTQxvE6o9t12qKYOsPhk8wwIXW7lp4WQ9inY33nQu6t1zUr9HoGHc9khKqiHFes1eD0RRGhLLy8htDwWNXBDR%2FrrLWxkt%7Ctkp%3ABk9SR_C8qpuDaA" TargetMode="External"/><Relationship Id="rId6" Type="http://schemas.openxmlformats.org/officeDocument/2006/relationships/hyperlink" Target="https://www.ebay.co.uk/itm/287474275860?_skw=Pok%C3%A9mon+Korean+Munikis+booster+box&amp;itmmeta=01M0CVAKR9QS66SQE1T55Q0VEK&amp;hash=item42eecd5614:g:hAcAAeSwR09psZzA&amp;itmprp=enc%3AAQALAAAA4GfYFPkwiKCW4ZNSs2u11xDhufR63EVsNQ2Rx9VdcxjU7IatzaqVoq5MnADiVWG1%2FCyrIEj4xf3z2pXQ1cy06yQ6eyY%2FPL1kR%2B1595Blo2gwc7XcTuVXpZov8DXbmTbN47vZlQ95d2oNBct1Dk2SS29QxPd6o2SqaUM3i8sAJK3dTVR8MxdOkk5ytTh%2BWzDi%2FctUZsGLOpV14cmy7rhmNuFk1KOAJPLZ11wn%2BRVyJztd2fO%2F8KR9DzSy4nO8fg5rS6p%2F1Pv8w0k%2FaX5ZE3V231TcFw0ydez6h4MPf61qOyC%2F%7Ctkp%3ABk9SR_C8qpuDaA" TargetMode="External"/><Relationship Id="rId7" Type="http://schemas.openxmlformats.org/officeDocument/2006/relationships/hyperlink" Target="https://www.ebay.co.uk/itm/178383913139?_skw=Pok%C3%A9mon+Korean+Munikis+booster+box&amp;itmmeta=01M0CVAKR9VY8YQF8W09HBAXDA&amp;hash=item29888280b3:g:-6gAAeSwrJFqdk26&amp;itmprp=enc%3AAQALAAABAGfYFPkwiKCW4ZNSs2u11xDRq06oRWd8NO7NxxtIutA95MKgvJwplUdI%2FIOR%2Bt5XdYX4TEunYkyeQOuzjQohNh0Y7V3I2YanWqPY8SXwSNiSqjdyziRBlz8tggW%2FAcVPoL80khBYs7FR6B8buf%2Fo9WZMLVA94emklwafVlMn%2Fi2lbeyoZgo6FTOm3crCsBD3YuRltr4V158xUMFMCBK%2FkudqrxksCQLiub7yD7NRd2kPyse7Xz1I4bTXxxPXyIC7%2F8Dm%2FAX7xFMEBpT1IV1Rfg8egpqGHWEfi88rt8caVG%2BVT5cDUzrkeT9YuKrrnhjKfSdmSjjRymzLlWkbU8R9btI%3D%7Ctkp%3ABk9SR_C8qpuDaA" TargetMode="External"/><Relationship Id="rId8" Type="http://schemas.openxmlformats.org/officeDocument/2006/relationships/hyperlink" Target="https://www.ebay.co.uk/itm/336728009466?_skw=Pok%C3%A9mon+Korean+Munikis+booster+box&amp;itmmeta=01M0CVAKR98098Y7B6NX6NJ1ZH&amp;hash=item4e668daafa:g:UXUAAeSw65Bqc2~Y&amp;itmprp=enc%3AAQALAAAA4GfYFPkwiKCW4ZNSs2u11xBHGC2pu2%2BWuVixxpTUmOluSewWntr%2FtCevCzMWInYYz7%2FUvmeVh67tlC783mAn94Ze7NjgGGD4YL07hx50XL6CsXLjOaTAqUBBBsSkURPvDzFfMYJM6BOqL1Mtbt5NLsvz4Oc%2FMKI%2BPOD3g%2F0NClDgVahSGFOxQ8SL0tQAavcIAlKcxQtwXwVjW5560gcH0NhC30RL9m1VQZwqKmKX6ciu8ajZTh0jTemq%2BnlJ%2Fhn9sR0brVdvqHgDLxXD8Ogwz8s%2Bio34j92pc3eZNzrn7PKW%7Ctkp%3ABk9SR_C8qpuDaA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ristol.ac.uk/centre-for-study-abroad/inbound/study-abroad-programmes-at-bristol/study-abroad-dates/?utm_source=chatgpt.com" TargetMode="External"/><Relationship Id="rId10" Type="http://schemas.openxmlformats.org/officeDocument/2006/relationships/hyperlink" Target="https://www.birmingham.ac.uk/postgraduate/courses/termdates?utm_source=chatgpt.com" TargetMode="External"/><Relationship Id="rId13" Type="http://schemas.openxmlformats.org/officeDocument/2006/relationships/hyperlink" Target="https://www.durham.ac.uk/academic-dates/" TargetMode="External"/><Relationship Id="rId12" Type="http://schemas.openxmlformats.org/officeDocument/2006/relationships/hyperlink" Target="https://warwick.ac.uk/study/termdates/?utm_source=chatgpt.com" TargetMode="External"/><Relationship Id="rId1" Type="http://schemas.openxmlformats.org/officeDocument/2006/relationships/hyperlink" Target="https://www.liverpool.ac.uk/term-dates/" TargetMode="External"/><Relationship Id="rId2" Type="http://schemas.openxmlformats.org/officeDocument/2006/relationships/hyperlink" Target="https://www.nottingham.ac.uk/about/keydates/index.aspx?utm_source=chatgpt.com" TargetMode="External"/><Relationship Id="rId3" Type="http://schemas.openxmlformats.org/officeDocument/2006/relationships/hyperlink" Target="https://www.ucl.ac.uk/study/current-students/life-ucl/term-dates-and-closures?utm_source=chatgpt.com" TargetMode="External"/><Relationship Id="rId4" Type="http://schemas.openxmlformats.org/officeDocument/2006/relationships/hyperlink" Target="https://www.kcl.ac.uk/assets/aboutkings/pdf/committees/academic-board/agendas/2026/agenda-papers-15-apr-2026.pdf?utm_source=chatgpt.com" TargetMode="External"/><Relationship Id="rId9" Type="http://schemas.openxmlformats.org/officeDocument/2006/relationships/hyperlink" Target="https://www.leeds.ac.uk/term-dates?utm_source=chatgpt.com" TargetMode="External"/><Relationship Id="rId15" Type="http://schemas.openxmlformats.org/officeDocument/2006/relationships/hyperlink" Target="https://www.ntu.ac.uk/studenthub/my-course/timetables-dates-and-deadlines/term-dates?utm_source=chatgpt.com" TargetMode="External"/><Relationship Id="rId14" Type="http://schemas.openxmlformats.org/officeDocument/2006/relationships/hyperlink" Target="https://www.exeter.ac.uk/about/term-dates/?utm_source=chatgpt.com" TargetMode="External"/><Relationship Id="rId16" Type="http://schemas.openxmlformats.org/officeDocument/2006/relationships/drawing" Target="../drawings/drawing19.xml"/><Relationship Id="rId5" Type="http://schemas.openxmlformats.org/officeDocument/2006/relationships/hyperlink" Target="https://www.imperial.ac.uk/admin-services/registry/term-dates/?utm_source=chatgpt.com" TargetMode="External"/><Relationship Id="rId6" Type="http://schemas.openxmlformats.org/officeDocument/2006/relationships/hyperlink" Target="https://info.lse.ac.uk/current-students/term-dates?utm_source=chatgpt.com" TargetMode="External"/><Relationship Id="rId7" Type="http://schemas.openxmlformats.org/officeDocument/2006/relationships/hyperlink" Target="https://www.qmul.ac.uk/about/calendar/?utm_source=chatgpt.com" TargetMode="External"/><Relationship Id="rId8" Type="http://schemas.openxmlformats.org/officeDocument/2006/relationships/hyperlink" Target="https://www.manchester.ac.uk/about/key-dates/?utm_source=chatgpt.com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10" t="s">
        <v>2</v>
      </c>
      <c r="E5" s="10" t="s">
        <v>3</v>
      </c>
      <c r="F5" s="12" t="s">
        <v>4</v>
      </c>
      <c r="G5" s="10" t="s">
        <v>6</v>
      </c>
      <c r="H5" s="10" t="s">
        <v>7</v>
      </c>
      <c r="I5" s="10" t="s">
        <v>8</v>
      </c>
      <c r="J5" s="10" t="b">
        <v>1</v>
      </c>
      <c r="K5" s="10" t="s">
        <v>10</v>
      </c>
      <c r="L5" s="10" t="s">
        <v>11</v>
      </c>
      <c r="M5" s="10" t="s">
        <v>12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14"/>
      <c r="D6" s="16" t="s">
        <v>15</v>
      </c>
      <c r="E6" s="17" t="s">
        <v>16</v>
      </c>
      <c r="F6" s="18" t="s">
        <v>17</v>
      </c>
      <c r="G6" s="23">
        <f t="shared" ref="G6:G10" si="1">IFERROR(LEFT(F6,FIND("/",F6)-1)/MID(F6,FIND("/",F6)+1,9)+1,"ERR PRICE")</f>
        <v>9</v>
      </c>
      <c r="H6" s="25">
        <f t="shared" ref="H6:H10" si="2">IFERROR(1/G6,"ERR")</f>
        <v>0.1111111111</v>
      </c>
      <c r="I6" s="25">
        <v>1.178</v>
      </c>
      <c r="J6" s="28">
        <f t="shared" ref="J6:J10" si="3">IFERROR(H6/I6,"ERR")</f>
        <v>0.09432182607</v>
      </c>
      <c r="K6" s="16">
        <v>4.0</v>
      </c>
      <c r="L6" s="17" t="s">
        <v>36</v>
      </c>
      <c r="M6" s="29">
        <v>0.5104166666666666</v>
      </c>
      <c r="N6" s="3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14"/>
      <c r="D7" s="16" t="s">
        <v>13</v>
      </c>
      <c r="E7" s="33" t="s">
        <v>40</v>
      </c>
      <c r="F7" s="18" t="s">
        <v>17</v>
      </c>
      <c r="G7" s="23">
        <f t="shared" si="1"/>
        <v>9</v>
      </c>
      <c r="H7" s="25">
        <f t="shared" si="2"/>
        <v>0.1111111111</v>
      </c>
      <c r="I7" s="34">
        <v>1.1604</v>
      </c>
      <c r="J7" s="28">
        <f t="shared" si="3"/>
        <v>0.09575242254</v>
      </c>
      <c r="K7" s="16">
        <v>3.0</v>
      </c>
      <c r="L7" s="33" t="s">
        <v>41</v>
      </c>
      <c r="M7" s="29">
        <v>0.5006944444444444</v>
      </c>
      <c r="N7" s="3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14"/>
      <c r="D8" s="16" t="s">
        <v>14</v>
      </c>
      <c r="E8" s="17" t="s">
        <v>16</v>
      </c>
      <c r="F8" s="18" t="s">
        <v>17</v>
      </c>
      <c r="G8" s="23">
        <f t="shared" si="1"/>
        <v>9</v>
      </c>
      <c r="H8" s="25">
        <f t="shared" si="2"/>
        <v>0.1111111111</v>
      </c>
      <c r="I8" s="34">
        <v>1.1231</v>
      </c>
      <c r="J8" s="28">
        <f t="shared" si="3"/>
        <v>0.09893251813</v>
      </c>
      <c r="K8" s="16">
        <v>1.0</v>
      </c>
      <c r="L8" s="17" t="s">
        <v>36</v>
      </c>
      <c r="M8" s="29">
        <v>0.5013888888888889</v>
      </c>
      <c r="N8" s="3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14"/>
      <c r="D9" s="16" t="s">
        <v>42</v>
      </c>
      <c r="E9" s="17" t="s">
        <v>16</v>
      </c>
      <c r="F9" s="37" t="s">
        <v>43</v>
      </c>
      <c r="G9" s="23">
        <f t="shared" si="1"/>
        <v>10</v>
      </c>
      <c r="H9" s="25">
        <f t="shared" si="2"/>
        <v>0.1</v>
      </c>
      <c r="I9" s="38">
        <v>1.0361</v>
      </c>
      <c r="J9" s="28">
        <f t="shared" si="3"/>
        <v>0.09651578033</v>
      </c>
      <c r="K9" s="16">
        <v>2.0</v>
      </c>
      <c r="L9" s="17" t="s">
        <v>36</v>
      </c>
      <c r="M9" s="29">
        <v>0.5118055555555555</v>
      </c>
      <c r="N9" s="3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14"/>
      <c r="D10" s="16" t="s">
        <v>45</v>
      </c>
      <c r="E10" s="17" t="s">
        <v>16</v>
      </c>
      <c r="F10" s="18" t="s">
        <v>46</v>
      </c>
      <c r="G10" s="23">
        <f t="shared" si="1"/>
        <v>9.5</v>
      </c>
      <c r="H10" s="25">
        <f t="shared" si="2"/>
        <v>0.1052631579</v>
      </c>
      <c r="I10" s="34">
        <v>1.1495</v>
      </c>
      <c r="J10" s="28">
        <f t="shared" si="3"/>
        <v>0.09157299512</v>
      </c>
      <c r="K10" s="16">
        <v>5.0</v>
      </c>
      <c r="L10" s="17" t="s">
        <v>36</v>
      </c>
      <c r="M10" s="29">
        <v>0.5125</v>
      </c>
      <c r="N10" s="3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41"/>
      <c r="D11" s="41"/>
      <c r="E11" s="41"/>
      <c r="F11" s="42"/>
      <c r="G11" s="41"/>
      <c r="H11" s="41"/>
      <c r="I11" s="41"/>
      <c r="J11" s="41"/>
      <c r="K11" s="41"/>
      <c r="L11" s="41"/>
      <c r="M11" s="41"/>
      <c r="N11" s="3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43"/>
      <c r="D12" s="43"/>
      <c r="E12" s="43"/>
      <c r="F12" s="44"/>
      <c r="G12" s="43"/>
      <c r="H12" s="43"/>
      <c r="I12" s="43"/>
      <c r="J12" s="43"/>
      <c r="K12" s="43"/>
      <c r="L12" s="43"/>
      <c r="M12" s="43"/>
      <c r="N12" s="3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45"/>
      <c r="D13" s="46" t="s">
        <v>52</v>
      </c>
      <c r="E13" s="45"/>
      <c r="F13" s="47"/>
      <c r="G13" s="46" t="s">
        <v>56</v>
      </c>
      <c r="H13" s="45"/>
      <c r="I13" s="45"/>
      <c r="J13" s="46" t="s">
        <v>57</v>
      </c>
      <c r="K13" s="45"/>
      <c r="L13" s="45"/>
      <c r="M13" s="4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5"/>
      <c r="D14" s="45"/>
      <c r="E14" s="45"/>
      <c r="F14" s="47"/>
      <c r="G14" s="45"/>
      <c r="H14" s="45"/>
      <c r="I14" s="45"/>
      <c r="J14" s="45"/>
      <c r="K14" s="45"/>
      <c r="L14" s="45"/>
      <c r="M14" s="4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45"/>
      <c r="D15" s="45"/>
      <c r="E15" s="45"/>
      <c r="F15" s="47"/>
      <c r="G15" s="45"/>
      <c r="H15" s="45"/>
      <c r="I15" s="45"/>
      <c r="J15" s="45"/>
      <c r="K15" s="45"/>
      <c r="L15" s="45"/>
      <c r="M15" s="4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5"/>
      <c r="D16" s="46" t="s">
        <v>63</v>
      </c>
      <c r="E16" s="45"/>
      <c r="F16" s="47"/>
      <c r="G16" s="45"/>
      <c r="H16" s="45"/>
      <c r="I16" s="45"/>
      <c r="J16" s="45"/>
      <c r="K16" s="45"/>
      <c r="L16" s="45"/>
      <c r="M16" s="4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45"/>
      <c r="D17" s="2"/>
      <c r="E17" s="2"/>
      <c r="F17" s="47"/>
      <c r="G17" s="45"/>
      <c r="H17" s="45"/>
      <c r="I17" s="45"/>
      <c r="J17" s="45"/>
      <c r="K17" s="45"/>
      <c r="L17" s="45"/>
      <c r="M17" s="4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5"/>
      <c r="D18" s="2"/>
      <c r="E18" s="45"/>
      <c r="F18" s="47"/>
      <c r="G18" s="45"/>
      <c r="H18" s="45"/>
      <c r="I18" s="45"/>
      <c r="J18" s="45"/>
      <c r="K18" s="45"/>
      <c r="L18" s="45"/>
      <c r="M18" s="4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45"/>
      <c r="D19" s="45"/>
      <c r="E19" s="45"/>
      <c r="F19" s="47"/>
      <c r="G19" s="45"/>
      <c r="H19" s="45"/>
      <c r="I19" s="45"/>
      <c r="J19" s="45"/>
      <c r="K19" s="45"/>
      <c r="L19" s="45"/>
      <c r="M19" s="4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0"/>
    <col customWidth="1" min="7" max="7" width="14.75"/>
    <col customWidth="1" min="9" max="9" width="23.38"/>
    <col customWidth="1" min="11" max="11" width="15.13"/>
    <col customWidth="1" min="13" max="13" width="21.38"/>
    <col customWidth="1" min="15" max="15" width="17.13"/>
    <col customWidth="1" min="17" max="17" width="19.0"/>
    <col customWidth="1" min="18" max="18" width="16.75"/>
    <col customWidth="1" min="19" max="19" width="20.63"/>
    <col customWidth="1" min="22" max="22" width="16.0"/>
    <col customWidth="1" min="23" max="23" width="19.75"/>
  </cols>
  <sheetData>
    <row r="1">
      <c r="A1" s="3" t="s">
        <v>0</v>
      </c>
      <c r="B1" s="3">
        <v>0.0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7"/>
      <c r="Q1" s="7"/>
      <c r="R1" s="7"/>
      <c r="S1" s="8"/>
      <c r="T1" s="7"/>
      <c r="U1" s="7"/>
    </row>
    <row r="2">
      <c r="D2" s="5"/>
      <c r="E2" s="9" t="s">
        <v>1</v>
      </c>
      <c r="F2" s="5"/>
      <c r="G2" s="11"/>
      <c r="H2" s="5"/>
      <c r="I2" s="9" t="s">
        <v>5</v>
      </c>
      <c r="J2" s="5"/>
      <c r="K2" s="5"/>
      <c r="L2" s="5"/>
      <c r="M2" s="9" t="s">
        <v>9</v>
      </c>
      <c r="N2" s="5"/>
      <c r="O2" s="5"/>
      <c r="P2" s="7"/>
      <c r="Q2" s="13" t="s">
        <v>13</v>
      </c>
      <c r="R2" s="7"/>
      <c r="S2" s="8"/>
      <c r="T2" s="7"/>
      <c r="U2" s="13" t="s">
        <v>14</v>
      </c>
      <c r="W2" s="15"/>
    </row>
    <row r="3">
      <c r="D3" s="5"/>
      <c r="E3" s="5"/>
      <c r="F3" s="5"/>
      <c r="G3" s="11"/>
      <c r="H3" s="5"/>
      <c r="I3" s="5"/>
      <c r="J3" s="5"/>
      <c r="K3" s="5"/>
      <c r="L3" s="5"/>
      <c r="M3" s="5"/>
      <c r="N3" s="5"/>
      <c r="O3" s="5"/>
      <c r="P3" s="5"/>
      <c r="Q3" s="5"/>
      <c r="R3" s="7"/>
      <c r="S3" s="8"/>
      <c r="T3" s="5"/>
      <c r="U3" s="5"/>
      <c r="W3" s="15"/>
    </row>
    <row r="4">
      <c r="A4" s="3" t="s">
        <v>18</v>
      </c>
      <c r="B4" s="3" t="s">
        <v>19</v>
      </c>
      <c r="C4" s="3" t="s">
        <v>20</v>
      </c>
      <c r="D4" s="9" t="s">
        <v>21</v>
      </c>
      <c r="E4" s="9" t="s">
        <v>22</v>
      </c>
      <c r="F4" s="19" t="s">
        <v>23</v>
      </c>
      <c r="G4" s="20" t="s">
        <v>24</v>
      </c>
      <c r="H4" s="5"/>
      <c r="I4" s="9" t="s">
        <v>22</v>
      </c>
      <c r="J4" s="9" t="s">
        <v>25</v>
      </c>
      <c r="K4" s="9" t="s">
        <v>26</v>
      </c>
      <c r="L4" s="5"/>
      <c r="M4" s="9" t="s">
        <v>22</v>
      </c>
      <c r="N4" s="9" t="s">
        <v>27</v>
      </c>
      <c r="O4" s="9" t="s">
        <v>28</v>
      </c>
      <c r="P4" s="5"/>
      <c r="Q4" s="9" t="s">
        <v>22</v>
      </c>
      <c r="R4" s="13" t="s">
        <v>29</v>
      </c>
      <c r="S4" s="21" t="s">
        <v>30</v>
      </c>
      <c r="T4" s="5"/>
      <c r="U4" s="9" t="s">
        <v>22</v>
      </c>
      <c r="V4" s="3" t="s">
        <v>31</v>
      </c>
      <c r="W4" s="22" t="s">
        <v>32</v>
      </c>
    </row>
    <row r="5">
      <c r="A5" s="27">
        <f t="shared" ref="A5:A24" si="1">MAX(F5,J5,N5,R5,V5)</f>
        <v>2.5</v>
      </c>
      <c r="B5" s="3">
        <v>1.92</v>
      </c>
      <c r="C5" s="15">
        <f t="shared" ref="C5:C24" si="2">IFERROR(A5/B5-1,"ERR")</f>
        <v>0.3020833333</v>
      </c>
      <c r="D5" s="31">
        <v>0.4965277777777778</v>
      </c>
      <c r="E5" s="9" t="s">
        <v>39</v>
      </c>
      <c r="F5" s="32">
        <v>2.5</v>
      </c>
      <c r="G5" s="20">
        <f t="shared" ref="G5:G24" si="3">1/F5</f>
        <v>0.4</v>
      </c>
      <c r="H5" s="5"/>
      <c r="I5" s="9" t="s">
        <v>39</v>
      </c>
      <c r="J5" s="9">
        <v>2.25</v>
      </c>
      <c r="K5" s="20">
        <f t="shared" ref="K5:K24" si="4">1/J5</f>
        <v>0.4444444444</v>
      </c>
      <c r="L5" s="5"/>
      <c r="M5" s="9" t="s">
        <v>39</v>
      </c>
      <c r="N5" s="9">
        <v>2.25</v>
      </c>
      <c r="O5" s="20">
        <f t="shared" ref="O5:O24" si="5">1/N5</f>
        <v>0.4444444444</v>
      </c>
      <c r="P5" s="5"/>
      <c r="Q5" s="9" t="s">
        <v>39</v>
      </c>
      <c r="R5" s="35">
        <v>2.4</v>
      </c>
      <c r="S5" s="8">
        <f t="shared" ref="S5:S24" si="6">1/R5</f>
        <v>0.4166666667</v>
      </c>
      <c r="T5" s="5"/>
      <c r="U5" s="9" t="s">
        <v>39</v>
      </c>
      <c r="V5" s="3">
        <v>2.25</v>
      </c>
      <c r="W5" s="15">
        <f t="shared" ref="W5:W24" si="7">1/V5</f>
        <v>0.4444444444</v>
      </c>
    </row>
    <row r="6">
      <c r="A6" s="27">
        <f t="shared" si="1"/>
        <v>81</v>
      </c>
      <c r="B6" s="3">
        <v>180.0</v>
      </c>
      <c r="C6" s="15">
        <f t="shared" si="2"/>
        <v>-0.55</v>
      </c>
      <c r="D6" s="31">
        <v>0.49722222222222223</v>
      </c>
      <c r="E6" s="9" t="s">
        <v>44</v>
      </c>
      <c r="F6" s="39">
        <v>41.0</v>
      </c>
      <c r="G6" s="20">
        <f t="shared" si="3"/>
        <v>0.0243902439</v>
      </c>
      <c r="H6" s="5"/>
      <c r="I6" s="9" t="s">
        <v>44</v>
      </c>
      <c r="J6" s="32">
        <v>81.0</v>
      </c>
      <c r="K6" s="20">
        <f t="shared" si="4"/>
        <v>0.01234567901</v>
      </c>
      <c r="L6" s="5"/>
      <c r="M6" s="9" t="s">
        <v>44</v>
      </c>
      <c r="N6" s="32">
        <v>41.0</v>
      </c>
      <c r="O6" s="20">
        <f t="shared" si="5"/>
        <v>0.0243902439</v>
      </c>
      <c r="P6" s="5"/>
      <c r="Q6" s="9" t="s">
        <v>44</v>
      </c>
      <c r="R6" s="35">
        <v>51.0</v>
      </c>
      <c r="S6" s="8">
        <f t="shared" si="6"/>
        <v>0.01960784314</v>
      </c>
      <c r="T6" s="5"/>
      <c r="U6" s="9" t="s">
        <v>44</v>
      </c>
      <c r="V6" s="40">
        <v>67.0</v>
      </c>
      <c r="W6" s="15">
        <f t="shared" si="7"/>
        <v>0.01492537313</v>
      </c>
    </row>
    <row r="7">
      <c r="A7" s="27">
        <f t="shared" si="1"/>
        <v>501</v>
      </c>
      <c r="B7" s="3">
        <v>1000.0</v>
      </c>
      <c r="C7" s="15">
        <f t="shared" si="2"/>
        <v>-0.499</v>
      </c>
      <c r="D7" s="31">
        <v>0.49722222222222223</v>
      </c>
      <c r="E7" s="9" t="s">
        <v>48</v>
      </c>
      <c r="F7" s="32">
        <v>201.0</v>
      </c>
      <c r="G7" s="20">
        <f t="shared" si="3"/>
        <v>0.004975124378</v>
      </c>
      <c r="H7" s="5"/>
      <c r="I7" s="9" t="s">
        <v>48</v>
      </c>
      <c r="J7" s="32">
        <v>501.0</v>
      </c>
      <c r="K7" s="20">
        <f t="shared" si="4"/>
        <v>0.001996007984</v>
      </c>
      <c r="L7" s="5"/>
      <c r="M7" s="9" t="s">
        <v>48</v>
      </c>
      <c r="N7" s="32">
        <v>301.0</v>
      </c>
      <c r="O7" s="20">
        <f t="shared" si="5"/>
        <v>0.003322259136</v>
      </c>
      <c r="P7" s="5"/>
      <c r="Q7" s="9" t="s">
        <v>48</v>
      </c>
      <c r="R7" s="35">
        <v>251.0</v>
      </c>
      <c r="S7" s="8">
        <f t="shared" si="6"/>
        <v>0.003984063745</v>
      </c>
      <c r="T7" s="5"/>
      <c r="U7" s="9" t="s">
        <v>48</v>
      </c>
      <c r="V7" s="40">
        <v>201.0</v>
      </c>
      <c r="W7" s="15">
        <f t="shared" si="7"/>
        <v>0.004975124378</v>
      </c>
    </row>
    <row r="8">
      <c r="A8" s="27">
        <f t="shared" si="1"/>
        <v>301</v>
      </c>
      <c r="B8" s="3">
        <v>180.0</v>
      </c>
      <c r="C8" s="15">
        <f t="shared" si="2"/>
        <v>0.6722222222</v>
      </c>
      <c r="D8" s="31">
        <v>0.49722222222222223</v>
      </c>
      <c r="E8" s="9" t="s">
        <v>54</v>
      </c>
      <c r="F8" s="39">
        <v>251.0</v>
      </c>
      <c r="G8" s="20">
        <f t="shared" si="3"/>
        <v>0.003984063745</v>
      </c>
      <c r="H8" s="5"/>
      <c r="I8" s="9" t="s">
        <v>54</v>
      </c>
      <c r="J8" s="32">
        <v>301.0</v>
      </c>
      <c r="K8" s="20">
        <f t="shared" si="4"/>
        <v>0.003322259136</v>
      </c>
      <c r="L8" s="5"/>
      <c r="M8" s="9" t="s">
        <v>54</v>
      </c>
      <c r="N8" s="32">
        <v>301.0</v>
      </c>
      <c r="O8" s="20">
        <f t="shared" si="5"/>
        <v>0.003322259136</v>
      </c>
      <c r="P8" s="5"/>
      <c r="Q8" s="9" t="s">
        <v>54</v>
      </c>
      <c r="R8" s="35">
        <v>251.0</v>
      </c>
      <c r="S8" s="8">
        <f t="shared" si="6"/>
        <v>0.003984063745</v>
      </c>
      <c r="T8" s="5"/>
      <c r="U8" s="9" t="s">
        <v>54</v>
      </c>
      <c r="V8" s="40">
        <v>251.0</v>
      </c>
      <c r="W8" s="15">
        <f t="shared" si="7"/>
        <v>0.003984063745</v>
      </c>
    </row>
    <row r="9">
      <c r="A9" s="27">
        <f t="shared" si="1"/>
        <v>301</v>
      </c>
      <c r="B9" s="3">
        <v>190.0</v>
      </c>
      <c r="C9" s="15">
        <f t="shared" si="2"/>
        <v>0.5842105263</v>
      </c>
      <c r="D9" s="31">
        <v>0.49722222222222223</v>
      </c>
      <c r="E9" s="19" t="s">
        <v>60</v>
      </c>
      <c r="F9" s="39">
        <v>151.0</v>
      </c>
      <c r="G9" s="20">
        <f t="shared" si="3"/>
        <v>0.006622516556</v>
      </c>
      <c r="H9" s="5"/>
      <c r="I9" s="19" t="s">
        <v>60</v>
      </c>
      <c r="J9" s="32">
        <v>301.0</v>
      </c>
      <c r="K9" s="20">
        <f t="shared" si="4"/>
        <v>0.003322259136</v>
      </c>
      <c r="L9" s="5"/>
      <c r="M9" s="19" t="s">
        <v>60</v>
      </c>
      <c r="N9" s="32">
        <v>176.0</v>
      </c>
      <c r="O9" s="20">
        <f t="shared" si="5"/>
        <v>0.005681818182</v>
      </c>
      <c r="P9" s="5"/>
      <c r="Q9" s="19" t="s">
        <v>60</v>
      </c>
      <c r="R9" s="35">
        <v>151.0</v>
      </c>
      <c r="S9" s="8">
        <f t="shared" si="6"/>
        <v>0.006622516556</v>
      </c>
      <c r="T9" s="5"/>
      <c r="U9" s="19" t="s">
        <v>60</v>
      </c>
      <c r="V9" s="40">
        <v>201.0</v>
      </c>
      <c r="W9" s="15">
        <f t="shared" si="7"/>
        <v>0.004975124378</v>
      </c>
    </row>
    <row r="10">
      <c r="A10" s="27">
        <f t="shared" si="1"/>
        <v>10</v>
      </c>
      <c r="B10" s="3">
        <v>10.0</v>
      </c>
      <c r="C10" s="15">
        <f t="shared" si="2"/>
        <v>0</v>
      </c>
      <c r="D10" s="31">
        <v>0.49722222222222223</v>
      </c>
      <c r="E10" s="19" t="s">
        <v>69</v>
      </c>
      <c r="F10" s="39">
        <v>9.0</v>
      </c>
      <c r="G10" s="20">
        <f t="shared" si="3"/>
        <v>0.1111111111</v>
      </c>
      <c r="H10" s="5"/>
      <c r="I10" s="19" t="s">
        <v>69</v>
      </c>
      <c r="J10" s="32">
        <v>10.0</v>
      </c>
      <c r="K10" s="20">
        <f t="shared" si="4"/>
        <v>0.1</v>
      </c>
      <c r="L10" s="5"/>
      <c r="M10" s="19" t="s">
        <v>69</v>
      </c>
      <c r="N10" s="32">
        <v>9.0</v>
      </c>
      <c r="O10" s="20">
        <f t="shared" si="5"/>
        <v>0.1111111111</v>
      </c>
      <c r="P10" s="5"/>
      <c r="Q10" s="19" t="s">
        <v>69</v>
      </c>
      <c r="R10" s="35">
        <v>9.0</v>
      </c>
      <c r="S10" s="8">
        <f t="shared" si="6"/>
        <v>0.1111111111</v>
      </c>
      <c r="T10" s="5"/>
      <c r="U10" s="19" t="s">
        <v>69</v>
      </c>
      <c r="V10" s="40">
        <v>9.0</v>
      </c>
      <c r="W10" s="15">
        <f t="shared" si="7"/>
        <v>0.1111111111</v>
      </c>
    </row>
    <row r="11">
      <c r="A11" s="27">
        <f t="shared" si="1"/>
        <v>2001</v>
      </c>
      <c r="C11" s="15" t="str">
        <f t="shared" si="2"/>
        <v>ERR</v>
      </c>
      <c r="D11" s="31">
        <v>0.49722222222222223</v>
      </c>
      <c r="E11" s="9" t="s">
        <v>72</v>
      </c>
      <c r="F11" s="39">
        <v>2001.0</v>
      </c>
      <c r="G11" s="20">
        <f t="shared" si="3"/>
        <v>0.0004997501249</v>
      </c>
      <c r="H11" s="5"/>
      <c r="I11" s="9" t="s">
        <v>72</v>
      </c>
      <c r="J11" s="32">
        <v>1001.0</v>
      </c>
      <c r="K11" s="20">
        <f t="shared" si="4"/>
        <v>0.000999000999</v>
      </c>
      <c r="L11" s="5"/>
      <c r="M11" s="9" t="s">
        <v>72</v>
      </c>
      <c r="N11" s="32">
        <v>501.0</v>
      </c>
      <c r="O11" s="20">
        <f t="shared" si="5"/>
        <v>0.001996007984</v>
      </c>
      <c r="P11" s="5"/>
      <c r="Q11" s="9" t="s">
        <v>72</v>
      </c>
      <c r="R11" s="35">
        <v>1001.0</v>
      </c>
      <c r="S11" s="8">
        <f t="shared" si="6"/>
        <v>0.000999000999</v>
      </c>
      <c r="T11" s="5"/>
      <c r="U11" s="9" t="s">
        <v>72</v>
      </c>
      <c r="V11" s="40">
        <v>1001.0</v>
      </c>
      <c r="W11" s="15">
        <f t="shared" si="7"/>
        <v>0.000999000999</v>
      </c>
    </row>
    <row r="12">
      <c r="A12" s="27">
        <f t="shared" si="1"/>
        <v>1001</v>
      </c>
      <c r="C12" s="15" t="str">
        <f t="shared" si="2"/>
        <v>ERR</v>
      </c>
      <c r="D12" s="31">
        <v>0.49722222222222223</v>
      </c>
      <c r="E12" s="9" t="s">
        <v>73</v>
      </c>
      <c r="F12" s="39">
        <v>501.0</v>
      </c>
      <c r="G12" s="20">
        <f t="shared" si="3"/>
        <v>0.001996007984</v>
      </c>
      <c r="H12" s="5"/>
      <c r="I12" s="9" t="s">
        <v>73</v>
      </c>
      <c r="J12" s="32">
        <v>1001.0</v>
      </c>
      <c r="K12" s="20">
        <f t="shared" si="4"/>
        <v>0.000999000999</v>
      </c>
      <c r="L12" s="5"/>
      <c r="M12" s="9" t="s">
        <v>73</v>
      </c>
      <c r="N12" s="32">
        <v>501.0</v>
      </c>
      <c r="O12" s="20">
        <f t="shared" si="5"/>
        <v>0.001996007984</v>
      </c>
      <c r="P12" s="5"/>
      <c r="Q12" s="9" t="s">
        <v>73</v>
      </c>
      <c r="R12" s="35">
        <v>251.0</v>
      </c>
      <c r="S12" s="8">
        <f t="shared" si="6"/>
        <v>0.003984063745</v>
      </c>
      <c r="T12" s="5"/>
      <c r="U12" s="9" t="s">
        <v>73</v>
      </c>
      <c r="V12" s="40">
        <v>501.0</v>
      </c>
      <c r="W12" s="15">
        <f t="shared" si="7"/>
        <v>0.001996007984</v>
      </c>
    </row>
    <row r="13">
      <c r="A13" s="27">
        <f t="shared" si="1"/>
        <v>501</v>
      </c>
      <c r="B13" s="3">
        <v>950.0</v>
      </c>
      <c r="C13" s="15">
        <f t="shared" si="2"/>
        <v>-0.4726315789</v>
      </c>
      <c r="D13" s="31">
        <v>0.49722222222222223</v>
      </c>
      <c r="E13" s="9" t="s">
        <v>74</v>
      </c>
      <c r="F13" s="39">
        <v>251.0</v>
      </c>
      <c r="G13" s="20">
        <f t="shared" si="3"/>
        <v>0.003984063745</v>
      </c>
      <c r="H13" s="5"/>
      <c r="I13" s="9" t="s">
        <v>74</v>
      </c>
      <c r="J13" s="32">
        <v>501.0</v>
      </c>
      <c r="K13" s="20">
        <f t="shared" si="4"/>
        <v>0.001996007984</v>
      </c>
      <c r="L13" s="5"/>
      <c r="M13" s="9" t="s">
        <v>74</v>
      </c>
      <c r="N13" s="32">
        <v>301.0</v>
      </c>
      <c r="O13" s="20">
        <f t="shared" si="5"/>
        <v>0.003322259136</v>
      </c>
      <c r="P13" s="5"/>
      <c r="Q13" s="9" t="s">
        <v>74</v>
      </c>
      <c r="R13" s="35">
        <v>251.0</v>
      </c>
      <c r="S13" s="8">
        <f t="shared" si="6"/>
        <v>0.003984063745</v>
      </c>
      <c r="T13" s="5"/>
      <c r="U13" s="9" t="s">
        <v>74</v>
      </c>
      <c r="V13" s="40">
        <v>251.0</v>
      </c>
      <c r="W13" s="15">
        <f t="shared" si="7"/>
        <v>0.003984063745</v>
      </c>
    </row>
    <row r="14">
      <c r="A14" s="27">
        <f t="shared" si="1"/>
        <v>501</v>
      </c>
      <c r="C14" s="15" t="str">
        <f t="shared" si="2"/>
        <v>ERR</v>
      </c>
      <c r="D14" s="31">
        <v>0.49722222222222223</v>
      </c>
      <c r="E14" s="19" t="s">
        <v>75</v>
      </c>
      <c r="F14" s="39">
        <v>501.0</v>
      </c>
      <c r="G14" s="20">
        <f t="shared" si="3"/>
        <v>0.001996007984</v>
      </c>
      <c r="H14" s="5"/>
      <c r="I14" s="19" t="s">
        <v>75</v>
      </c>
      <c r="J14" s="32">
        <v>501.0</v>
      </c>
      <c r="K14" s="20">
        <f t="shared" si="4"/>
        <v>0.001996007984</v>
      </c>
      <c r="L14" s="5"/>
      <c r="M14" s="19" t="s">
        <v>75</v>
      </c>
      <c r="N14" s="32">
        <v>501.0</v>
      </c>
      <c r="O14" s="20">
        <f t="shared" si="5"/>
        <v>0.001996007984</v>
      </c>
      <c r="P14" s="5"/>
      <c r="Q14" s="19" t="s">
        <v>75</v>
      </c>
      <c r="R14" s="35">
        <v>501.0</v>
      </c>
      <c r="S14" s="8">
        <f t="shared" si="6"/>
        <v>0.001996007984</v>
      </c>
      <c r="T14" s="5"/>
      <c r="U14" s="19" t="s">
        <v>75</v>
      </c>
      <c r="V14" s="40">
        <v>501.0</v>
      </c>
      <c r="W14" s="15">
        <f t="shared" si="7"/>
        <v>0.001996007984</v>
      </c>
    </row>
    <row r="15">
      <c r="A15" s="27">
        <f t="shared" si="1"/>
        <v>2001</v>
      </c>
      <c r="C15" s="15" t="str">
        <f t="shared" si="2"/>
        <v>ERR</v>
      </c>
      <c r="D15" s="31">
        <v>0.49722222222222223</v>
      </c>
      <c r="E15" s="9" t="s">
        <v>76</v>
      </c>
      <c r="F15" s="32">
        <v>2001.0</v>
      </c>
      <c r="G15" s="20">
        <f t="shared" si="3"/>
        <v>0.0004997501249</v>
      </c>
      <c r="H15" s="5"/>
      <c r="I15" s="9" t="s">
        <v>76</v>
      </c>
      <c r="J15" s="32">
        <v>2001.0</v>
      </c>
      <c r="K15" s="20">
        <f t="shared" si="4"/>
        <v>0.0004997501249</v>
      </c>
      <c r="L15" s="5"/>
      <c r="M15" s="9" t="s">
        <v>76</v>
      </c>
      <c r="N15" s="32">
        <v>501.0</v>
      </c>
      <c r="O15" s="20">
        <f t="shared" si="5"/>
        <v>0.001996007984</v>
      </c>
      <c r="P15" s="5"/>
      <c r="Q15" s="9" t="s">
        <v>76</v>
      </c>
      <c r="R15" s="35">
        <v>2001.0</v>
      </c>
      <c r="S15" s="8">
        <f t="shared" si="6"/>
        <v>0.0004997501249</v>
      </c>
      <c r="T15" s="5"/>
      <c r="U15" s="9" t="s">
        <v>76</v>
      </c>
      <c r="V15" s="40">
        <v>2001.0</v>
      </c>
      <c r="W15" s="15">
        <f t="shared" si="7"/>
        <v>0.0004997501249</v>
      </c>
    </row>
    <row r="16">
      <c r="A16" s="27">
        <f t="shared" si="1"/>
        <v>3001</v>
      </c>
      <c r="C16" s="15" t="str">
        <f t="shared" si="2"/>
        <v>ERR</v>
      </c>
      <c r="D16" s="31">
        <v>0.49722222222222223</v>
      </c>
      <c r="E16" s="19" t="s">
        <v>77</v>
      </c>
      <c r="F16" s="39">
        <v>3001.0</v>
      </c>
      <c r="G16" s="20">
        <f t="shared" si="3"/>
        <v>0.0003332222592</v>
      </c>
      <c r="H16" s="5"/>
      <c r="I16" s="19" t="s">
        <v>77</v>
      </c>
      <c r="J16" s="32">
        <v>1001.0</v>
      </c>
      <c r="K16" s="20">
        <f t="shared" si="4"/>
        <v>0.000999000999</v>
      </c>
      <c r="L16" s="5"/>
      <c r="M16" s="19" t="s">
        <v>77</v>
      </c>
      <c r="N16" s="32">
        <v>501.0</v>
      </c>
      <c r="O16" s="20">
        <f t="shared" si="5"/>
        <v>0.001996007984</v>
      </c>
      <c r="P16" s="5"/>
      <c r="Q16" s="19" t="s">
        <v>77</v>
      </c>
      <c r="R16" s="35">
        <v>1001.0</v>
      </c>
      <c r="S16" s="8">
        <f t="shared" si="6"/>
        <v>0.000999000999</v>
      </c>
      <c r="T16" s="5"/>
      <c r="U16" s="19" t="s">
        <v>77</v>
      </c>
      <c r="V16" s="40">
        <v>1001.0</v>
      </c>
      <c r="W16" s="15">
        <f t="shared" si="7"/>
        <v>0.000999000999</v>
      </c>
    </row>
    <row r="17">
      <c r="A17" s="27">
        <f t="shared" si="1"/>
        <v>501</v>
      </c>
      <c r="B17" s="3">
        <v>400.0</v>
      </c>
      <c r="C17" s="15">
        <f t="shared" si="2"/>
        <v>0.2525</v>
      </c>
      <c r="D17" s="31">
        <v>0.49722222222222223</v>
      </c>
      <c r="E17" s="9" t="s">
        <v>78</v>
      </c>
      <c r="F17" s="39">
        <v>501.0</v>
      </c>
      <c r="G17" s="20">
        <f t="shared" si="3"/>
        <v>0.001996007984</v>
      </c>
      <c r="H17" s="5"/>
      <c r="I17" s="9" t="s">
        <v>78</v>
      </c>
      <c r="J17" s="32">
        <v>501.0</v>
      </c>
      <c r="K17" s="20">
        <f t="shared" si="4"/>
        <v>0.001996007984</v>
      </c>
      <c r="L17" s="5"/>
      <c r="M17" s="9" t="s">
        <v>78</v>
      </c>
      <c r="N17" s="32">
        <v>301.0</v>
      </c>
      <c r="O17" s="20">
        <f t="shared" si="5"/>
        <v>0.003322259136</v>
      </c>
      <c r="P17" s="5"/>
      <c r="Q17" s="9" t="s">
        <v>78</v>
      </c>
      <c r="R17" s="35">
        <v>251.0</v>
      </c>
      <c r="S17" s="8">
        <f t="shared" si="6"/>
        <v>0.003984063745</v>
      </c>
      <c r="T17" s="5"/>
      <c r="U17" s="9" t="s">
        <v>78</v>
      </c>
      <c r="V17" s="40">
        <v>501.0</v>
      </c>
      <c r="W17" s="15">
        <f t="shared" si="7"/>
        <v>0.001996007984</v>
      </c>
    </row>
    <row r="18">
      <c r="A18" s="27">
        <f t="shared" si="1"/>
        <v>7</v>
      </c>
      <c r="B18" s="3">
        <v>10.5</v>
      </c>
      <c r="C18" s="15">
        <f t="shared" si="2"/>
        <v>-0.3333333333</v>
      </c>
      <c r="D18" s="31">
        <v>0.49722222222222223</v>
      </c>
      <c r="E18" s="19" t="s">
        <v>79</v>
      </c>
      <c r="F18" s="39">
        <v>6.0</v>
      </c>
      <c r="G18" s="20">
        <f t="shared" si="3"/>
        <v>0.1666666667</v>
      </c>
      <c r="H18" s="5"/>
      <c r="I18" s="19" t="s">
        <v>79</v>
      </c>
      <c r="J18" s="32">
        <v>7.0</v>
      </c>
      <c r="K18" s="20">
        <f t="shared" si="4"/>
        <v>0.1428571429</v>
      </c>
      <c r="L18" s="5"/>
      <c r="M18" s="19" t="s">
        <v>79</v>
      </c>
      <c r="N18" s="32">
        <v>6.5</v>
      </c>
      <c r="O18" s="20">
        <f t="shared" si="5"/>
        <v>0.1538461538</v>
      </c>
      <c r="P18" s="5"/>
      <c r="Q18" s="19" t="s">
        <v>79</v>
      </c>
      <c r="R18" s="35">
        <v>6.0</v>
      </c>
      <c r="S18" s="8">
        <f t="shared" si="6"/>
        <v>0.1666666667</v>
      </c>
      <c r="T18" s="5"/>
      <c r="U18" s="19" t="s">
        <v>79</v>
      </c>
      <c r="V18" s="40">
        <v>7.0</v>
      </c>
      <c r="W18" s="15">
        <f t="shared" si="7"/>
        <v>0.1428571429</v>
      </c>
    </row>
    <row r="19">
      <c r="A19" s="27">
        <f t="shared" si="1"/>
        <v>4.75</v>
      </c>
      <c r="B19" s="3">
        <v>5.4</v>
      </c>
      <c r="C19" s="15">
        <f t="shared" si="2"/>
        <v>-0.1203703704</v>
      </c>
      <c r="D19" s="31">
        <v>0.49722222222222223</v>
      </c>
      <c r="E19" s="9" t="s">
        <v>80</v>
      </c>
      <c r="F19" s="39">
        <v>3.75</v>
      </c>
      <c r="G19" s="20">
        <f t="shared" si="3"/>
        <v>0.2666666667</v>
      </c>
      <c r="H19" s="5"/>
      <c r="I19" s="9" t="s">
        <v>80</v>
      </c>
      <c r="J19" s="32">
        <v>4.75</v>
      </c>
      <c r="K19" s="20">
        <f t="shared" si="4"/>
        <v>0.2105263158</v>
      </c>
      <c r="L19" s="5"/>
      <c r="M19" s="9" t="s">
        <v>80</v>
      </c>
      <c r="N19" s="32">
        <v>4.0</v>
      </c>
      <c r="O19" s="20">
        <f t="shared" si="5"/>
        <v>0.25</v>
      </c>
      <c r="P19" s="5"/>
      <c r="Q19" s="9" t="s">
        <v>80</v>
      </c>
      <c r="R19" s="35">
        <v>4.0</v>
      </c>
      <c r="S19" s="8">
        <f t="shared" si="6"/>
        <v>0.25</v>
      </c>
      <c r="T19" s="5"/>
      <c r="U19" s="9" t="s">
        <v>80</v>
      </c>
      <c r="V19" s="40">
        <v>4.33</v>
      </c>
      <c r="W19" s="15">
        <f t="shared" si="7"/>
        <v>0.2309468822</v>
      </c>
    </row>
    <row r="20">
      <c r="A20" s="27">
        <f t="shared" si="1"/>
        <v>13</v>
      </c>
      <c r="B20" s="3">
        <v>21.0</v>
      </c>
      <c r="C20" s="15">
        <f t="shared" si="2"/>
        <v>-0.380952381</v>
      </c>
      <c r="D20" s="31">
        <v>0.49722222222222223</v>
      </c>
      <c r="E20" s="19" t="s">
        <v>81</v>
      </c>
      <c r="F20" s="32">
        <v>8.0</v>
      </c>
      <c r="G20" s="20">
        <f t="shared" si="3"/>
        <v>0.125</v>
      </c>
      <c r="H20" s="5"/>
      <c r="I20" s="19" t="s">
        <v>81</v>
      </c>
      <c r="J20" s="32">
        <v>13.0</v>
      </c>
      <c r="K20" s="20">
        <f t="shared" si="4"/>
        <v>0.07692307692</v>
      </c>
      <c r="L20" s="5"/>
      <c r="M20" s="19" t="s">
        <v>81</v>
      </c>
      <c r="N20" s="32">
        <v>9.5</v>
      </c>
      <c r="O20" s="20">
        <f t="shared" si="5"/>
        <v>0.1052631579</v>
      </c>
      <c r="P20" s="5"/>
      <c r="Q20" s="19" t="s">
        <v>81</v>
      </c>
      <c r="R20" s="35">
        <v>9.0</v>
      </c>
      <c r="S20" s="8">
        <f t="shared" si="6"/>
        <v>0.1111111111</v>
      </c>
      <c r="T20" s="5"/>
      <c r="U20" s="19" t="s">
        <v>81</v>
      </c>
      <c r="V20" s="40">
        <v>9.0</v>
      </c>
      <c r="W20" s="15">
        <f t="shared" si="7"/>
        <v>0.1111111111</v>
      </c>
    </row>
    <row r="21">
      <c r="A21" s="27">
        <f t="shared" si="1"/>
        <v>276</v>
      </c>
      <c r="B21" s="3">
        <v>370.0</v>
      </c>
      <c r="C21" s="15">
        <f t="shared" si="2"/>
        <v>-0.2540540541</v>
      </c>
      <c r="D21" s="31">
        <v>0.49722222222222223</v>
      </c>
      <c r="E21" s="9" t="s">
        <v>82</v>
      </c>
      <c r="F21" s="39">
        <v>151.0</v>
      </c>
      <c r="G21" s="20">
        <f t="shared" si="3"/>
        <v>0.006622516556</v>
      </c>
      <c r="H21" s="5"/>
      <c r="I21" s="9" t="s">
        <v>82</v>
      </c>
      <c r="J21" s="32">
        <v>276.0</v>
      </c>
      <c r="K21" s="20">
        <f t="shared" si="4"/>
        <v>0.003623188406</v>
      </c>
      <c r="L21" s="5"/>
      <c r="M21" s="9" t="s">
        <v>82</v>
      </c>
      <c r="N21" s="32">
        <v>176.0</v>
      </c>
      <c r="O21" s="20">
        <f t="shared" si="5"/>
        <v>0.005681818182</v>
      </c>
      <c r="P21" s="5"/>
      <c r="Q21" s="9" t="s">
        <v>82</v>
      </c>
      <c r="R21" s="35">
        <v>151.0</v>
      </c>
      <c r="S21" s="8">
        <f t="shared" si="6"/>
        <v>0.006622516556</v>
      </c>
      <c r="T21" s="5"/>
      <c r="U21" s="9" t="s">
        <v>82</v>
      </c>
      <c r="V21" s="40">
        <v>151.0</v>
      </c>
      <c r="W21" s="15">
        <f t="shared" si="7"/>
        <v>0.006622516556</v>
      </c>
    </row>
    <row r="22">
      <c r="A22" s="27">
        <f t="shared" si="1"/>
        <v>501</v>
      </c>
      <c r="B22" s="3">
        <v>1000.0</v>
      </c>
      <c r="C22" s="15">
        <f t="shared" si="2"/>
        <v>-0.499</v>
      </c>
      <c r="D22" s="31">
        <v>0.49722222222222223</v>
      </c>
      <c r="E22" s="19" t="s">
        <v>83</v>
      </c>
      <c r="F22" s="39">
        <v>501.0</v>
      </c>
      <c r="G22" s="20">
        <f t="shared" si="3"/>
        <v>0.001996007984</v>
      </c>
      <c r="H22" s="5"/>
      <c r="I22" s="19" t="s">
        <v>83</v>
      </c>
      <c r="J22" s="32">
        <v>501.0</v>
      </c>
      <c r="K22" s="20">
        <f t="shared" si="4"/>
        <v>0.001996007984</v>
      </c>
      <c r="L22" s="5"/>
      <c r="M22" s="19" t="s">
        <v>83</v>
      </c>
      <c r="N22" s="32">
        <v>301.0</v>
      </c>
      <c r="O22" s="20">
        <f t="shared" si="5"/>
        <v>0.003322259136</v>
      </c>
      <c r="P22" s="5"/>
      <c r="Q22" s="19" t="s">
        <v>83</v>
      </c>
      <c r="R22" s="35">
        <v>501.0</v>
      </c>
      <c r="S22" s="8">
        <f t="shared" si="6"/>
        <v>0.001996007984</v>
      </c>
      <c r="T22" s="5"/>
      <c r="U22" s="19" t="s">
        <v>83</v>
      </c>
      <c r="V22" s="40">
        <v>251.0</v>
      </c>
      <c r="W22" s="15">
        <f t="shared" si="7"/>
        <v>0.003984063745</v>
      </c>
    </row>
    <row r="23">
      <c r="A23" s="27">
        <f t="shared" si="1"/>
        <v>1001</v>
      </c>
      <c r="B23" s="3">
        <v>1000.0</v>
      </c>
      <c r="C23" s="15">
        <f t="shared" si="2"/>
        <v>0.001</v>
      </c>
      <c r="D23" s="31">
        <v>0.49722222222222223</v>
      </c>
      <c r="E23" s="19" t="s">
        <v>84</v>
      </c>
      <c r="F23" s="32">
        <v>751.0</v>
      </c>
      <c r="G23" s="20">
        <f t="shared" si="3"/>
        <v>0.001331557923</v>
      </c>
      <c r="H23" s="5"/>
      <c r="I23" s="19" t="s">
        <v>84</v>
      </c>
      <c r="J23" s="32">
        <v>1001.0</v>
      </c>
      <c r="K23" s="20">
        <f t="shared" si="4"/>
        <v>0.000999000999</v>
      </c>
      <c r="L23" s="5"/>
      <c r="M23" s="19" t="s">
        <v>84</v>
      </c>
      <c r="N23" s="32">
        <v>501.0</v>
      </c>
      <c r="O23" s="20">
        <f t="shared" si="5"/>
        <v>0.001996007984</v>
      </c>
      <c r="P23" s="5"/>
      <c r="Q23" s="19" t="s">
        <v>84</v>
      </c>
      <c r="R23" s="35">
        <v>501.0</v>
      </c>
      <c r="S23" s="8">
        <f t="shared" si="6"/>
        <v>0.001996007984</v>
      </c>
      <c r="T23" s="5"/>
      <c r="U23" s="19" t="s">
        <v>84</v>
      </c>
      <c r="V23" s="40">
        <v>751.0</v>
      </c>
      <c r="W23" s="15">
        <f t="shared" si="7"/>
        <v>0.001331557923</v>
      </c>
    </row>
    <row r="24">
      <c r="A24" s="27">
        <f t="shared" si="1"/>
        <v>41</v>
      </c>
      <c r="B24" s="3">
        <v>60.0</v>
      </c>
      <c r="C24" s="15">
        <f t="shared" si="2"/>
        <v>-0.3166666667</v>
      </c>
      <c r="D24" s="31">
        <v>0.49722222222222223</v>
      </c>
      <c r="E24" s="19" t="s">
        <v>85</v>
      </c>
      <c r="F24" s="32">
        <v>21.0</v>
      </c>
      <c r="G24" s="20">
        <f t="shared" si="3"/>
        <v>0.04761904762</v>
      </c>
      <c r="H24" s="5"/>
      <c r="I24" s="19" t="s">
        <v>85</v>
      </c>
      <c r="J24" s="32">
        <v>41.0</v>
      </c>
      <c r="K24" s="20">
        <f t="shared" si="4"/>
        <v>0.0243902439</v>
      </c>
      <c r="L24" s="5"/>
      <c r="M24" s="19" t="s">
        <v>85</v>
      </c>
      <c r="N24" s="32">
        <v>29.0</v>
      </c>
      <c r="O24" s="20">
        <f t="shared" si="5"/>
        <v>0.03448275862</v>
      </c>
      <c r="P24" s="5"/>
      <c r="Q24" s="19" t="s">
        <v>85</v>
      </c>
      <c r="R24" s="35">
        <v>23.0</v>
      </c>
      <c r="S24" s="8">
        <f t="shared" si="6"/>
        <v>0.04347826087</v>
      </c>
      <c r="T24" s="5"/>
      <c r="U24" s="19" t="s">
        <v>85</v>
      </c>
      <c r="V24" s="40">
        <v>34.0</v>
      </c>
      <c r="W24" s="15">
        <f t="shared" si="7"/>
        <v>0.02941176471</v>
      </c>
    </row>
    <row r="25">
      <c r="E25" s="5"/>
      <c r="F25" s="5"/>
      <c r="G25" s="20">
        <v>1.1783</v>
      </c>
      <c r="H25" s="5"/>
      <c r="I25" s="5"/>
      <c r="J25" s="5"/>
      <c r="K25" s="20">
        <v>1.0361</v>
      </c>
      <c r="L25" s="5"/>
      <c r="M25" s="5"/>
      <c r="N25" s="5"/>
      <c r="O25" s="20">
        <v>1.1634</v>
      </c>
      <c r="P25" s="5"/>
      <c r="Q25" s="5"/>
      <c r="R25" s="7"/>
      <c r="S25" s="21">
        <v>1.1604</v>
      </c>
      <c r="T25" s="5"/>
      <c r="U25" s="5"/>
      <c r="W25" s="22">
        <v>1.1231</v>
      </c>
    </row>
    <row r="26">
      <c r="E26" s="5"/>
      <c r="F26" s="5"/>
      <c r="G26" s="11"/>
      <c r="H26" s="5"/>
      <c r="I26" s="5"/>
      <c r="J26" s="5"/>
      <c r="K26" s="5"/>
      <c r="L26" s="5"/>
      <c r="M26" s="5"/>
      <c r="N26" s="5"/>
      <c r="O26" s="5"/>
      <c r="P26" s="7"/>
      <c r="Q26" s="7"/>
      <c r="R26" s="7"/>
      <c r="S26" s="8"/>
      <c r="T26" s="7"/>
      <c r="U26" s="7"/>
      <c r="W26" s="15"/>
    </row>
    <row r="27">
      <c r="D27" s="31"/>
      <c r="E27" s="5"/>
      <c r="F27" s="5"/>
      <c r="G27" s="11"/>
      <c r="H27" s="5"/>
      <c r="I27" s="5"/>
      <c r="J27" s="5"/>
      <c r="K27" s="5"/>
      <c r="L27" s="5"/>
      <c r="M27" s="5"/>
      <c r="N27" s="5"/>
      <c r="O27" s="5"/>
      <c r="P27" s="7"/>
      <c r="Q27" s="7"/>
      <c r="R27" s="7"/>
      <c r="S27" s="8"/>
      <c r="T27" s="7"/>
      <c r="U27" s="7"/>
      <c r="W27" s="15"/>
    </row>
    <row r="28">
      <c r="D28" s="31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D29" s="3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D30" s="48"/>
      <c r="E30" s="48"/>
      <c r="F30" s="48"/>
      <c r="G30" s="48"/>
      <c r="H30" s="48"/>
      <c r="I30" s="48"/>
      <c r="J30" s="48"/>
      <c r="K30" s="48"/>
    </row>
    <row r="31">
      <c r="D31" s="48"/>
      <c r="E31" s="48"/>
      <c r="F31" s="48"/>
      <c r="G31" s="48"/>
      <c r="H31" s="48"/>
      <c r="I31" s="48"/>
      <c r="J31" s="48"/>
      <c r="K31" s="48"/>
    </row>
  </sheetData>
  <conditionalFormatting sqref="C5:C26">
    <cfRule type="cellIs" dxfId="0" priority="1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B1" s="6"/>
      <c r="D1" s="15">
        <f>IF(COUNTIF(D3:D5,"ERR")&gt;0,"ERR IN BOOK",SUM(D3:D5))</f>
        <v>1.084715938</v>
      </c>
      <c r="E1" s="15">
        <f>IF(ISNUMBER($D$1),$D$1-1,"ERR")</f>
        <v>0.08471593766</v>
      </c>
    </row>
    <row r="2">
      <c r="A2" s="3" t="s">
        <v>33</v>
      </c>
      <c r="B2" s="26" t="s">
        <v>4</v>
      </c>
      <c r="C2" s="3" t="s">
        <v>34</v>
      </c>
      <c r="D2" s="22" t="s">
        <v>7</v>
      </c>
      <c r="E2" s="22" t="b">
        <v>1</v>
      </c>
    </row>
    <row r="3">
      <c r="A3" s="3" t="s">
        <v>37</v>
      </c>
      <c r="B3" s="26" t="s">
        <v>38</v>
      </c>
      <c r="C3" s="36">
        <f t="shared" ref="C3:C5" si="1">IFERROR(IF(ISNUMBER(FIND("/",B3)),LEFT(B3,FIND("/",B3)-1)/MID(B3,FIND("/",B3)+1,9)+1,VALUE(B3)),"ERR")</f>
        <v>3.4</v>
      </c>
      <c r="D3" s="15">
        <f t="shared" ref="D3:D5" si="2">IFERROR(1/C3,"ERR")</f>
        <v>0.2941176471</v>
      </c>
      <c r="E3" s="22">
        <f>IFERROR(D3/SUM($D$3:$D$5), "")</f>
        <v>0.2711471611</v>
      </c>
    </row>
    <row r="4">
      <c r="A4" s="3" t="s">
        <v>53</v>
      </c>
      <c r="B4" s="26" t="s">
        <v>55</v>
      </c>
      <c r="C4" s="36">
        <f t="shared" si="1"/>
        <v>3.6</v>
      </c>
      <c r="D4" s="15">
        <f t="shared" si="2"/>
        <v>0.2777777778</v>
      </c>
      <c r="E4" s="22">
        <f t="shared" ref="E4:E5" si="3">IFERROR(D4/$D$1,"ERR")</f>
        <v>0.2560834299</v>
      </c>
    </row>
    <row r="5">
      <c r="A5" s="3" t="s">
        <v>65</v>
      </c>
      <c r="B5" s="26" t="s">
        <v>66</v>
      </c>
      <c r="C5" s="36">
        <f t="shared" si="1"/>
        <v>1.95</v>
      </c>
      <c r="D5" s="15">
        <f t="shared" si="2"/>
        <v>0.5128205128</v>
      </c>
      <c r="E5" s="22">
        <f t="shared" si="3"/>
        <v>0.472769409</v>
      </c>
    </row>
    <row r="6">
      <c r="B6" s="6"/>
      <c r="D6" s="15"/>
      <c r="E6" s="15"/>
    </row>
    <row r="7">
      <c r="B7" s="6"/>
      <c r="D7" s="15"/>
      <c r="E7" s="15"/>
    </row>
    <row r="8">
      <c r="B8" s="26" t="s">
        <v>71</v>
      </c>
      <c r="D8" s="15"/>
      <c r="E8" s="15"/>
    </row>
    <row r="9">
      <c r="B9" s="6"/>
      <c r="D9" s="15"/>
      <c r="E9" s="15"/>
    </row>
    <row r="10">
      <c r="B10" s="6"/>
      <c r="D10" s="15"/>
      <c r="E10" s="15"/>
    </row>
    <row r="11">
      <c r="B11" s="6"/>
      <c r="D11" s="15"/>
      <c r="E11" s="15"/>
    </row>
    <row r="12">
      <c r="B12" s="6"/>
      <c r="D12" s="15"/>
      <c r="E12" s="15"/>
    </row>
    <row r="13">
      <c r="B13" s="6"/>
      <c r="D13" s="15"/>
      <c r="E13" s="15"/>
    </row>
    <row r="14">
      <c r="B14" s="6"/>
      <c r="D14" s="15"/>
      <c r="E14" s="15"/>
    </row>
    <row r="15">
      <c r="B15" s="6"/>
      <c r="D15" s="15"/>
      <c r="E15" s="15"/>
    </row>
    <row r="16">
      <c r="B16" s="6"/>
      <c r="D16" s="15"/>
      <c r="E16" s="15"/>
    </row>
    <row r="17">
      <c r="B17" s="6"/>
      <c r="D17" s="15"/>
      <c r="E17" s="15"/>
    </row>
    <row r="18">
      <c r="B18" s="6"/>
      <c r="D18" s="15"/>
      <c r="E18" s="15"/>
    </row>
    <row r="19">
      <c r="B19" s="6"/>
      <c r="D19" s="15"/>
      <c r="E19" s="15"/>
    </row>
    <row r="20">
      <c r="B20" s="6"/>
      <c r="D20" s="15"/>
      <c r="E20" s="15"/>
    </row>
    <row r="21">
      <c r="B21" s="6"/>
      <c r="D21" s="15"/>
      <c r="E21" s="15"/>
    </row>
    <row r="22">
      <c r="B22" s="6"/>
      <c r="D22" s="15"/>
      <c r="E22" s="15"/>
    </row>
    <row r="23">
      <c r="B23" s="6"/>
      <c r="D23" s="15"/>
      <c r="E23" s="15"/>
    </row>
    <row r="24">
      <c r="B24" s="6"/>
      <c r="D24" s="15"/>
      <c r="E24" s="15"/>
    </row>
    <row r="25">
      <c r="B25" s="6"/>
      <c r="D25" s="15"/>
      <c r="E25" s="15"/>
    </row>
    <row r="26">
      <c r="B26" s="6"/>
      <c r="D26" s="15"/>
      <c r="E26" s="15"/>
    </row>
    <row r="27">
      <c r="B27" s="6"/>
      <c r="D27" s="15"/>
      <c r="E27" s="15"/>
    </row>
    <row r="28">
      <c r="B28" s="6"/>
      <c r="D28" s="15"/>
      <c r="E28" s="15"/>
    </row>
    <row r="29">
      <c r="B29" s="6"/>
      <c r="D29" s="15"/>
      <c r="E29" s="15"/>
    </row>
    <row r="30">
      <c r="B30" s="6"/>
      <c r="D30" s="15"/>
      <c r="E30" s="15"/>
    </row>
    <row r="31">
      <c r="B31" s="6"/>
      <c r="D31" s="15"/>
      <c r="E31" s="15"/>
    </row>
    <row r="32">
      <c r="B32" s="6"/>
      <c r="D32" s="15"/>
      <c r="E32" s="15"/>
    </row>
    <row r="33">
      <c r="B33" s="6"/>
      <c r="D33" s="15"/>
      <c r="E33" s="15"/>
    </row>
    <row r="34">
      <c r="B34" s="6"/>
      <c r="D34" s="15"/>
      <c r="E34" s="15"/>
    </row>
    <row r="35">
      <c r="B35" s="6"/>
      <c r="D35" s="15"/>
      <c r="E35" s="15"/>
    </row>
    <row r="36">
      <c r="B36" s="6"/>
      <c r="D36" s="15"/>
      <c r="E36" s="15"/>
    </row>
    <row r="37">
      <c r="B37" s="6"/>
      <c r="D37" s="15"/>
      <c r="E37" s="15"/>
    </row>
    <row r="38">
      <c r="B38" s="6"/>
      <c r="D38" s="15"/>
      <c r="E38" s="15"/>
    </row>
    <row r="39">
      <c r="B39" s="6"/>
      <c r="D39" s="15"/>
      <c r="E39" s="15"/>
    </row>
    <row r="40">
      <c r="B40" s="6"/>
      <c r="D40" s="15"/>
      <c r="E40" s="15"/>
    </row>
    <row r="41">
      <c r="B41" s="6"/>
      <c r="D41" s="15"/>
      <c r="E41" s="15"/>
    </row>
    <row r="42">
      <c r="B42" s="6"/>
      <c r="D42" s="15"/>
      <c r="E42" s="15"/>
    </row>
    <row r="43">
      <c r="B43" s="6"/>
      <c r="D43" s="15"/>
      <c r="E43" s="15"/>
    </row>
    <row r="44">
      <c r="B44" s="6"/>
      <c r="D44" s="15"/>
      <c r="E44" s="15"/>
    </row>
    <row r="45">
      <c r="B45" s="6"/>
      <c r="D45" s="15"/>
      <c r="E45" s="15"/>
    </row>
    <row r="46">
      <c r="B46" s="6"/>
      <c r="D46" s="15"/>
      <c r="E46" s="15"/>
    </row>
    <row r="47">
      <c r="B47" s="6"/>
      <c r="D47" s="15"/>
      <c r="E47" s="15"/>
    </row>
    <row r="48">
      <c r="B48" s="6"/>
      <c r="D48" s="15"/>
      <c r="E48" s="15"/>
    </row>
    <row r="49">
      <c r="B49" s="6"/>
      <c r="D49" s="15"/>
      <c r="E49" s="15"/>
    </row>
    <row r="50">
      <c r="B50" s="6"/>
      <c r="D50" s="15"/>
      <c r="E50" s="15"/>
    </row>
    <row r="51">
      <c r="B51" s="6"/>
      <c r="D51" s="15"/>
      <c r="E51" s="15"/>
    </row>
    <row r="52">
      <c r="B52" s="6"/>
      <c r="D52" s="15"/>
      <c r="E52" s="15"/>
    </row>
    <row r="53">
      <c r="B53" s="6"/>
      <c r="D53" s="15"/>
      <c r="E53" s="15"/>
    </row>
    <row r="54">
      <c r="B54" s="6"/>
      <c r="D54" s="15"/>
      <c r="E54" s="15"/>
    </row>
    <row r="55">
      <c r="B55" s="6"/>
      <c r="D55" s="15"/>
      <c r="E55" s="15"/>
    </row>
    <row r="56">
      <c r="B56" s="6"/>
      <c r="D56" s="15"/>
      <c r="E56" s="15"/>
    </row>
    <row r="57">
      <c r="B57" s="6"/>
      <c r="D57" s="15"/>
      <c r="E57" s="15"/>
    </row>
    <row r="58">
      <c r="B58" s="6"/>
      <c r="D58" s="15"/>
      <c r="E58" s="15"/>
    </row>
    <row r="59">
      <c r="B59" s="6"/>
      <c r="D59" s="15"/>
      <c r="E59" s="15"/>
    </row>
    <row r="60">
      <c r="B60" s="6"/>
      <c r="D60" s="15"/>
      <c r="E60" s="15"/>
    </row>
    <row r="61">
      <c r="B61" s="6"/>
      <c r="D61" s="15"/>
      <c r="E61" s="15"/>
    </row>
    <row r="62">
      <c r="B62" s="6"/>
      <c r="D62" s="15"/>
      <c r="E62" s="15"/>
    </row>
    <row r="63">
      <c r="B63" s="6"/>
      <c r="D63" s="15"/>
      <c r="E63" s="15"/>
    </row>
    <row r="64">
      <c r="B64" s="6"/>
      <c r="D64" s="15"/>
      <c r="E64" s="15"/>
    </row>
    <row r="65">
      <c r="B65" s="6"/>
      <c r="D65" s="15"/>
      <c r="E65" s="15"/>
    </row>
    <row r="66">
      <c r="B66" s="6"/>
      <c r="D66" s="15"/>
      <c r="E66" s="15"/>
    </row>
    <row r="67">
      <c r="B67" s="6"/>
      <c r="D67" s="15"/>
      <c r="E67" s="15"/>
    </row>
    <row r="68">
      <c r="B68" s="6"/>
      <c r="D68" s="15"/>
      <c r="E68" s="15"/>
    </row>
    <row r="69">
      <c r="B69" s="6"/>
      <c r="D69" s="15"/>
      <c r="E69" s="15"/>
    </row>
    <row r="70">
      <c r="B70" s="6"/>
      <c r="D70" s="15"/>
      <c r="E70" s="15"/>
    </row>
    <row r="71">
      <c r="B71" s="6"/>
      <c r="D71" s="15"/>
      <c r="E71" s="15"/>
    </row>
    <row r="72">
      <c r="B72" s="6"/>
      <c r="D72" s="15"/>
      <c r="E72" s="15"/>
    </row>
    <row r="73">
      <c r="B73" s="6"/>
      <c r="D73" s="15"/>
      <c r="E73" s="15"/>
    </row>
    <row r="74">
      <c r="B74" s="6"/>
      <c r="D74" s="15"/>
      <c r="E74" s="15"/>
    </row>
    <row r="75">
      <c r="B75" s="6"/>
      <c r="D75" s="15"/>
      <c r="E75" s="15"/>
    </row>
    <row r="76">
      <c r="B76" s="6"/>
      <c r="D76" s="15"/>
      <c r="E76" s="15"/>
    </row>
    <row r="77">
      <c r="B77" s="6"/>
      <c r="D77" s="15"/>
      <c r="E77" s="15"/>
    </row>
    <row r="78">
      <c r="B78" s="6"/>
      <c r="D78" s="15"/>
      <c r="E78" s="15"/>
    </row>
    <row r="79">
      <c r="B79" s="6"/>
      <c r="D79" s="15"/>
      <c r="E79" s="15"/>
    </row>
    <row r="80">
      <c r="B80" s="6"/>
      <c r="D80" s="15"/>
      <c r="E80" s="15"/>
    </row>
    <row r="81">
      <c r="B81" s="6"/>
      <c r="D81" s="15"/>
      <c r="E81" s="15"/>
    </row>
    <row r="82">
      <c r="B82" s="6"/>
      <c r="D82" s="15"/>
      <c r="E82" s="15"/>
    </row>
    <row r="83">
      <c r="B83" s="6"/>
      <c r="D83" s="15"/>
      <c r="E83" s="15"/>
    </row>
    <row r="84">
      <c r="B84" s="6"/>
      <c r="D84" s="15"/>
      <c r="E84" s="15"/>
    </row>
    <row r="85">
      <c r="B85" s="6"/>
      <c r="D85" s="15"/>
      <c r="E85" s="15"/>
    </row>
    <row r="86">
      <c r="B86" s="6"/>
      <c r="D86" s="15"/>
      <c r="E86" s="15"/>
    </row>
    <row r="87">
      <c r="B87" s="6"/>
      <c r="D87" s="15"/>
      <c r="E87" s="15"/>
    </row>
    <row r="88">
      <c r="B88" s="6"/>
      <c r="D88" s="15"/>
      <c r="E88" s="15"/>
    </row>
    <row r="89">
      <c r="B89" s="6"/>
      <c r="D89" s="15"/>
      <c r="E89" s="15"/>
    </row>
    <row r="90">
      <c r="B90" s="6"/>
      <c r="D90" s="15"/>
      <c r="E90" s="15"/>
    </row>
    <row r="91">
      <c r="B91" s="6"/>
      <c r="D91" s="15"/>
      <c r="E91" s="15"/>
    </row>
    <row r="92">
      <c r="B92" s="6"/>
      <c r="D92" s="15"/>
      <c r="E92" s="15"/>
    </row>
    <row r="93">
      <c r="B93" s="6"/>
      <c r="D93" s="15"/>
      <c r="E93" s="15"/>
    </row>
    <row r="94">
      <c r="B94" s="6"/>
      <c r="D94" s="15"/>
      <c r="E94" s="15"/>
    </row>
    <row r="95">
      <c r="B95" s="6"/>
      <c r="D95" s="15"/>
      <c r="E95" s="15"/>
    </row>
    <row r="96">
      <c r="B96" s="6"/>
      <c r="D96" s="15"/>
      <c r="E96" s="15"/>
    </row>
    <row r="97">
      <c r="B97" s="6"/>
      <c r="D97" s="15"/>
      <c r="E97" s="15"/>
    </row>
    <row r="98">
      <c r="B98" s="6"/>
      <c r="D98" s="15"/>
      <c r="E98" s="15"/>
    </row>
    <row r="99">
      <c r="B99" s="6"/>
      <c r="D99" s="15"/>
      <c r="E99" s="15"/>
    </row>
    <row r="100">
      <c r="B100" s="6"/>
      <c r="D100" s="15"/>
      <c r="E100" s="15"/>
    </row>
    <row r="101">
      <c r="B101" s="6"/>
      <c r="D101" s="15"/>
      <c r="E101" s="15"/>
    </row>
    <row r="102">
      <c r="B102" s="6"/>
      <c r="D102" s="15"/>
      <c r="E102" s="15"/>
    </row>
    <row r="103">
      <c r="B103" s="6"/>
      <c r="D103" s="15"/>
      <c r="E103" s="15"/>
    </row>
    <row r="104">
      <c r="B104" s="6"/>
      <c r="D104" s="15"/>
      <c r="E104" s="15"/>
    </row>
    <row r="105">
      <c r="B105" s="6"/>
      <c r="D105" s="15"/>
      <c r="E105" s="15"/>
    </row>
    <row r="106">
      <c r="B106" s="6"/>
      <c r="D106" s="15"/>
      <c r="E106" s="15"/>
    </row>
    <row r="107">
      <c r="B107" s="6"/>
      <c r="D107" s="15"/>
      <c r="E107" s="15"/>
    </row>
    <row r="108">
      <c r="B108" s="6"/>
      <c r="D108" s="15"/>
      <c r="E108" s="15"/>
    </row>
    <row r="109">
      <c r="B109" s="6"/>
      <c r="D109" s="15"/>
      <c r="E109" s="15"/>
    </row>
    <row r="110">
      <c r="B110" s="6"/>
      <c r="D110" s="15"/>
      <c r="E110" s="15"/>
    </row>
    <row r="111">
      <c r="B111" s="6"/>
      <c r="D111" s="15"/>
      <c r="E111" s="15"/>
    </row>
    <row r="112">
      <c r="B112" s="6"/>
      <c r="D112" s="15"/>
      <c r="E112" s="15"/>
    </row>
    <row r="113">
      <c r="B113" s="6"/>
      <c r="D113" s="15"/>
      <c r="E113" s="15"/>
    </row>
    <row r="114">
      <c r="B114" s="6"/>
      <c r="D114" s="15"/>
      <c r="E114" s="15"/>
    </row>
    <row r="115">
      <c r="B115" s="6"/>
      <c r="D115" s="15"/>
      <c r="E115" s="15"/>
    </row>
    <row r="116">
      <c r="B116" s="6"/>
      <c r="D116" s="15"/>
      <c r="E116" s="15"/>
    </row>
    <row r="117">
      <c r="B117" s="6"/>
      <c r="D117" s="15"/>
      <c r="E117" s="15"/>
    </row>
    <row r="118">
      <c r="B118" s="6"/>
      <c r="D118" s="15"/>
      <c r="E118" s="15"/>
    </row>
    <row r="119">
      <c r="B119" s="6"/>
      <c r="D119" s="15"/>
      <c r="E119" s="15"/>
    </row>
    <row r="120">
      <c r="B120" s="6"/>
      <c r="D120" s="15"/>
      <c r="E120" s="15"/>
    </row>
    <row r="121">
      <c r="B121" s="6"/>
      <c r="D121" s="15"/>
      <c r="E121" s="15"/>
    </row>
    <row r="122">
      <c r="B122" s="6"/>
      <c r="D122" s="15"/>
      <c r="E122" s="15"/>
    </row>
    <row r="123">
      <c r="B123" s="6"/>
      <c r="D123" s="15"/>
      <c r="E123" s="15"/>
    </row>
    <row r="124">
      <c r="B124" s="6"/>
      <c r="D124" s="15"/>
      <c r="E124" s="15"/>
    </row>
    <row r="125">
      <c r="B125" s="6"/>
      <c r="D125" s="15"/>
      <c r="E125" s="15"/>
    </row>
    <row r="126">
      <c r="B126" s="6"/>
      <c r="D126" s="15"/>
      <c r="E126" s="15"/>
    </row>
    <row r="127">
      <c r="B127" s="6"/>
      <c r="D127" s="15"/>
      <c r="E127" s="15"/>
    </row>
    <row r="128">
      <c r="B128" s="6"/>
      <c r="D128" s="15"/>
      <c r="E128" s="15"/>
    </row>
    <row r="129">
      <c r="B129" s="6"/>
      <c r="D129" s="15"/>
      <c r="E129" s="15"/>
    </row>
    <row r="130">
      <c r="B130" s="6"/>
      <c r="D130" s="15"/>
      <c r="E130" s="15"/>
    </row>
    <row r="131">
      <c r="B131" s="6"/>
      <c r="D131" s="15"/>
      <c r="E131" s="15"/>
    </row>
    <row r="132">
      <c r="B132" s="6"/>
      <c r="D132" s="15"/>
      <c r="E132" s="15"/>
    </row>
    <row r="133">
      <c r="B133" s="6"/>
      <c r="D133" s="15"/>
      <c r="E133" s="15"/>
    </row>
    <row r="134">
      <c r="B134" s="6"/>
      <c r="D134" s="15"/>
      <c r="E134" s="15"/>
    </row>
    <row r="135">
      <c r="B135" s="6"/>
      <c r="D135" s="15"/>
      <c r="E135" s="15"/>
    </row>
    <row r="136">
      <c r="B136" s="6"/>
      <c r="D136" s="15"/>
      <c r="E136" s="15"/>
    </row>
    <row r="137">
      <c r="B137" s="6"/>
      <c r="D137" s="15"/>
      <c r="E137" s="15"/>
    </row>
    <row r="138">
      <c r="B138" s="6"/>
      <c r="D138" s="15"/>
      <c r="E138" s="15"/>
    </row>
    <row r="139">
      <c r="B139" s="6"/>
      <c r="D139" s="15"/>
      <c r="E139" s="15"/>
    </row>
    <row r="140">
      <c r="B140" s="6"/>
      <c r="D140" s="15"/>
      <c r="E140" s="15"/>
    </row>
    <row r="141">
      <c r="B141" s="6"/>
      <c r="D141" s="15"/>
      <c r="E141" s="15"/>
    </row>
    <row r="142">
      <c r="B142" s="6"/>
      <c r="D142" s="15"/>
      <c r="E142" s="15"/>
    </row>
    <row r="143">
      <c r="B143" s="6"/>
      <c r="D143" s="15"/>
      <c r="E143" s="15"/>
    </row>
    <row r="144">
      <c r="B144" s="6"/>
      <c r="D144" s="15"/>
      <c r="E144" s="15"/>
    </row>
    <row r="145">
      <c r="B145" s="6"/>
      <c r="D145" s="15"/>
      <c r="E145" s="15"/>
    </row>
    <row r="146">
      <c r="B146" s="6"/>
      <c r="D146" s="15"/>
      <c r="E146" s="15"/>
    </row>
    <row r="147">
      <c r="B147" s="6"/>
      <c r="D147" s="15"/>
      <c r="E147" s="15"/>
    </row>
    <row r="148">
      <c r="B148" s="6"/>
      <c r="D148" s="15"/>
      <c r="E148" s="15"/>
    </row>
    <row r="149">
      <c r="B149" s="6"/>
      <c r="D149" s="15"/>
      <c r="E149" s="15"/>
    </row>
    <row r="150">
      <c r="B150" s="6"/>
      <c r="D150" s="15"/>
      <c r="E150" s="15"/>
    </row>
    <row r="151">
      <c r="B151" s="6"/>
      <c r="D151" s="15"/>
      <c r="E151" s="15"/>
    </row>
    <row r="152">
      <c r="B152" s="6"/>
      <c r="D152" s="15"/>
      <c r="E152" s="15"/>
    </row>
    <row r="153">
      <c r="B153" s="6"/>
      <c r="D153" s="15"/>
      <c r="E153" s="15"/>
    </row>
    <row r="154">
      <c r="B154" s="6"/>
      <c r="D154" s="15"/>
      <c r="E154" s="15"/>
    </row>
    <row r="155">
      <c r="B155" s="6"/>
      <c r="D155" s="15"/>
      <c r="E155" s="15"/>
    </row>
    <row r="156">
      <c r="B156" s="6"/>
      <c r="D156" s="15"/>
      <c r="E156" s="15"/>
    </row>
    <row r="157">
      <c r="B157" s="6"/>
      <c r="D157" s="15"/>
      <c r="E157" s="15"/>
    </row>
    <row r="158">
      <c r="B158" s="6"/>
      <c r="D158" s="15"/>
      <c r="E158" s="15"/>
    </row>
    <row r="159">
      <c r="B159" s="6"/>
      <c r="D159" s="15"/>
      <c r="E159" s="15"/>
    </row>
    <row r="160">
      <c r="B160" s="6"/>
      <c r="D160" s="15"/>
      <c r="E160" s="15"/>
    </row>
    <row r="161">
      <c r="B161" s="6"/>
      <c r="D161" s="15"/>
      <c r="E161" s="15"/>
    </row>
    <row r="162">
      <c r="B162" s="6"/>
      <c r="D162" s="15"/>
      <c r="E162" s="15"/>
    </row>
    <row r="163">
      <c r="B163" s="6"/>
      <c r="D163" s="15"/>
      <c r="E163" s="15"/>
    </row>
    <row r="164">
      <c r="B164" s="6"/>
      <c r="D164" s="15"/>
      <c r="E164" s="15"/>
    </row>
    <row r="165">
      <c r="B165" s="6"/>
      <c r="D165" s="15"/>
      <c r="E165" s="15"/>
    </row>
    <row r="166">
      <c r="B166" s="6"/>
      <c r="D166" s="15"/>
      <c r="E166" s="15"/>
    </row>
    <row r="167">
      <c r="B167" s="6"/>
      <c r="D167" s="15"/>
      <c r="E167" s="15"/>
    </row>
    <row r="168">
      <c r="B168" s="6"/>
      <c r="D168" s="15"/>
      <c r="E168" s="15"/>
    </row>
    <row r="169">
      <c r="B169" s="6"/>
      <c r="D169" s="15"/>
      <c r="E169" s="15"/>
    </row>
    <row r="170">
      <c r="B170" s="6"/>
      <c r="D170" s="15"/>
      <c r="E170" s="15"/>
    </row>
    <row r="171">
      <c r="B171" s="6"/>
      <c r="D171" s="15"/>
      <c r="E171" s="15"/>
    </row>
    <row r="172">
      <c r="B172" s="6"/>
      <c r="D172" s="15"/>
      <c r="E172" s="15"/>
    </row>
    <row r="173">
      <c r="B173" s="6"/>
      <c r="D173" s="15"/>
      <c r="E173" s="15"/>
    </row>
    <row r="174">
      <c r="B174" s="6"/>
      <c r="D174" s="15"/>
      <c r="E174" s="15"/>
    </row>
    <row r="175">
      <c r="B175" s="6"/>
      <c r="D175" s="15"/>
      <c r="E175" s="15"/>
    </row>
    <row r="176">
      <c r="B176" s="6"/>
      <c r="D176" s="15"/>
      <c r="E176" s="15"/>
    </row>
    <row r="177">
      <c r="B177" s="6"/>
      <c r="D177" s="15"/>
      <c r="E177" s="15"/>
    </row>
    <row r="178">
      <c r="B178" s="6"/>
      <c r="D178" s="15"/>
      <c r="E178" s="15"/>
    </row>
    <row r="179">
      <c r="B179" s="6"/>
      <c r="D179" s="15"/>
      <c r="E179" s="15"/>
    </row>
    <row r="180">
      <c r="B180" s="6"/>
      <c r="D180" s="15"/>
      <c r="E180" s="15"/>
    </row>
    <row r="181">
      <c r="B181" s="6"/>
      <c r="D181" s="15"/>
      <c r="E181" s="15"/>
    </row>
    <row r="182">
      <c r="B182" s="6"/>
      <c r="D182" s="15"/>
      <c r="E182" s="15"/>
    </row>
    <row r="183">
      <c r="B183" s="6"/>
      <c r="D183" s="15"/>
      <c r="E183" s="15"/>
    </row>
    <row r="184">
      <c r="B184" s="6"/>
      <c r="D184" s="15"/>
      <c r="E184" s="15"/>
    </row>
    <row r="185">
      <c r="B185" s="6"/>
      <c r="D185" s="15"/>
      <c r="E185" s="15"/>
    </row>
    <row r="186">
      <c r="B186" s="6"/>
      <c r="D186" s="15"/>
      <c r="E186" s="15"/>
    </row>
    <row r="187">
      <c r="B187" s="6"/>
      <c r="D187" s="15"/>
      <c r="E187" s="15"/>
    </row>
    <row r="188">
      <c r="B188" s="6"/>
      <c r="D188" s="15"/>
      <c r="E188" s="15"/>
    </row>
    <row r="189">
      <c r="B189" s="6"/>
      <c r="D189" s="15"/>
      <c r="E189" s="15"/>
    </row>
    <row r="190">
      <c r="B190" s="6"/>
      <c r="D190" s="15"/>
      <c r="E190" s="15"/>
    </row>
    <row r="191">
      <c r="B191" s="6"/>
      <c r="D191" s="15"/>
      <c r="E191" s="15"/>
    </row>
    <row r="192">
      <c r="B192" s="6"/>
      <c r="D192" s="15"/>
      <c r="E192" s="15"/>
    </row>
    <row r="193">
      <c r="B193" s="6"/>
      <c r="D193" s="15"/>
      <c r="E193" s="15"/>
    </row>
    <row r="194">
      <c r="B194" s="6"/>
      <c r="D194" s="15"/>
      <c r="E194" s="15"/>
    </row>
    <row r="195">
      <c r="B195" s="6"/>
      <c r="D195" s="15"/>
      <c r="E195" s="15"/>
    </row>
    <row r="196">
      <c r="B196" s="6"/>
      <c r="D196" s="15"/>
      <c r="E196" s="15"/>
    </row>
    <row r="197">
      <c r="B197" s="6"/>
      <c r="D197" s="15"/>
      <c r="E197" s="15"/>
    </row>
    <row r="198">
      <c r="B198" s="6"/>
      <c r="D198" s="15"/>
      <c r="E198" s="15"/>
    </row>
    <row r="199">
      <c r="B199" s="6"/>
      <c r="D199" s="15"/>
      <c r="E199" s="15"/>
    </row>
    <row r="200">
      <c r="B200" s="6"/>
      <c r="D200" s="15"/>
      <c r="E200" s="15"/>
    </row>
    <row r="201">
      <c r="B201" s="6"/>
      <c r="D201" s="15"/>
      <c r="E201" s="15"/>
    </row>
    <row r="202">
      <c r="B202" s="6"/>
      <c r="D202" s="15"/>
      <c r="E202" s="15"/>
    </row>
    <row r="203">
      <c r="B203" s="6"/>
      <c r="D203" s="15"/>
      <c r="E203" s="15"/>
    </row>
    <row r="204">
      <c r="B204" s="6"/>
      <c r="D204" s="15"/>
      <c r="E204" s="15"/>
    </row>
    <row r="205">
      <c r="B205" s="6"/>
      <c r="D205" s="15"/>
      <c r="E205" s="15"/>
    </row>
    <row r="206">
      <c r="B206" s="6"/>
      <c r="D206" s="15"/>
      <c r="E206" s="15"/>
    </row>
    <row r="207">
      <c r="B207" s="6"/>
      <c r="D207" s="15"/>
      <c r="E207" s="15"/>
    </row>
    <row r="208">
      <c r="B208" s="6"/>
      <c r="D208" s="15"/>
      <c r="E208" s="15"/>
    </row>
    <row r="209">
      <c r="B209" s="6"/>
      <c r="D209" s="15"/>
      <c r="E209" s="15"/>
    </row>
    <row r="210">
      <c r="B210" s="6"/>
      <c r="D210" s="15"/>
      <c r="E210" s="15"/>
    </row>
    <row r="211">
      <c r="B211" s="6"/>
      <c r="D211" s="15"/>
      <c r="E211" s="15"/>
    </row>
    <row r="212">
      <c r="B212" s="6"/>
      <c r="D212" s="15"/>
      <c r="E212" s="15"/>
    </row>
    <row r="213">
      <c r="B213" s="6"/>
      <c r="D213" s="15"/>
      <c r="E213" s="15"/>
    </row>
    <row r="214">
      <c r="B214" s="6"/>
      <c r="D214" s="15"/>
      <c r="E214" s="15"/>
    </row>
    <row r="215">
      <c r="B215" s="6"/>
      <c r="D215" s="15"/>
      <c r="E215" s="15"/>
    </row>
    <row r="216">
      <c r="B216" s="6"/>
      <c r="D216" s="15"/>
      <c r="E216" s="15"/>
    </row>
    <row r="217">
      <c r="B217" s="6"/>
      <c r="D217" s="15"/>
      <c r="E217" s="15"/>
    </row>
    <row r="218">
      <c r="B218" s="6"/>
      <c r="D218" s="15"/>
      <c r="E218" s="15"/>
    </row>
    <row r="219">
      <c r="B219" s="6"/>
      <c r="D219" s="15"/>
      <c r="E219" s="15"/>
    </row>
    <row r="220">
      <c r="B220" s="6"/>
      <c r="D220" s="15"/>
      <c r="E220" s="15"/>
    </row>
    <row r="221">
      <c r="B221" s="6"/>
      <c r="D221" s="15"/>
      <c r="E221" s="15"/>
    </row>
    <row r="222">
      <c r="B222" s="6"/>
      <c r="D222" s="15"/>
      <c r="E222" s="15"/>
    </row>
    <row r="223">
      <c r="B223" s="6"/>
      <c r="D223" s="15"/>
      <c r="E223" s="15"/>
    </row>
    <row r="224">
      <c r="B224" s="6"/>
      <c r="D224" s="15"/>
      <c r="E224" s="15"/>
    </row>
    <row r="225">
      <c r="B225" s="6"/>
      <c r="D225" s="15"/>
      <c r="E225" s="15"/>
    </row>
    <row r="226">
      <c r="B226" s="6"/>
      <c r="D226" s="15"/>
      <c r="E226" s="15"/>
    </row>
    <row r="227">
      <c r="B227" s="6"/>
      <c r="D227" s="15"/>
      <c r="E227" s="15"/>
    </row>
    <row r="228">
      <c r="B228" s="6"/>
      <c r="D228" s="15"/>
      <c r="E228" s="15"/>
    </row>
    <row r="229">
      <c r="B229" s="6"/>
      <c r="D229" s="15"/>
      <c r="E229" s="15"/>
    </row>
    <row r="230">
      <c r="B230" s="6"/>
      <c r="D230" s="15"/>
      <c r="E230" s="15"/>
    </row>
    <row r="231">
      <c r="B231" s="6"/>
      <c r="D231" s="15"/>
      <c r="E231" s="15"/>
    </row>
    <row r="232">
      <c r="B232" s="6"/>
      <c r="D232" s="15"/>
      <c r="E232" s="15"/>
    </row>
    <row r="233">
      <c r="B233" s="6"/>
      <c r="D233" s="15"/>
      <c r="E233" s="15"/>
    </row>
    <row r="234">
      <c r="B234" s="6"/>
      <c r="D234" s="15"/>
      <c r="E234" s="15"/>
    </row>
    <row r="235">
      <c r="B235" s="6"/>
      <c r="D235" s="15"/>
      <c r="E235" s="15"/>
    </row>
    <row r="236">
      <c r="B236" s="6"/>
      <c r="D236" s="15"/>
      <c r="E236" s="15"/>
    </row>
    <row r="237">
      <c r="B237" s="6"/>
      <c r="D237" s="15"/>
      <c r="E237" s="15"/>
    </row>
    <row r="238">
      <c r="B238" s="6"/>
      <c r="D238" s="15"/>
      <c r="E238" s="15"/>
    </row>
    <row r="239">
      <c r="B239" s="6"/>
      <c r="D239" s="15"/>
      <c r="E239" s="15"/>
    </row>
    <row r="240">
      <c r="B240" s="6"/>
      <c r="D240" s="15"/>
      <c r="E240" s="15"/>
    </row>
    <row r="241">
      <c r="B241" s="6"/>
      <c r="D241" s="15"/>
      <c r="E241" s="15"/>
    </row>
    <row r="242">
      <c r="B242" s="6"/>
      <c r="D242" s="15"/>
      <c r="E242" s="15"/>
    </row>
    <row r="243">
      <c r="B243" s="6"/>
      <c r="D243" s="15"/>
      <c r="E243" s="15"/>
    </row>
    <row r="244">
      <c r="B244" s="6"/>
      <c r="D244" s="15"/>
      <c r="E244" s="15"/>
    </row>
    <row r="245">
      <c r="B245" s="6"/>
      <c r="D245" s="15"/>
      <c r="E245" s="15"/>
    </row>
    <row r="246">
      <c r="B246" s="6"/>
      <c r="D246" s="15"/>
      <c r="E246" s="15"/>
    </row>
    <row r="247">
      <c r="B247" s="6"/>
      <c r="D247" s="15"/>
      <c r="E247" s="15"/>
    </row>
    <row r="248">
      <c r="B248" s="6"/>
      <c r="D248" s="15"/>
      <c r="E248" s="15"/>
    </row>
    <row r="249">
      <c r="B249" s="6"/>
      <c r="D249" s="15"/>
      <c r="E249" s="15"/>
    </row>
    <row r="250">
      <c r="B250" s="6"/>
      <c r="D250" s="15"/>
      <c r="E250" s="15"/>
    </row>
    <row r="251">
      <c r="B251" s="6"/>
      <c r="D251" s="15"/>
      <c r="E251" s="15"/>
    </row>
    <row r="252">
      <c r="B252" s="6"/>
      <c r="D252" s="15"/>
      <c r="E252" s="15"/>
    </row>
    <row r="253">
      <c r="B253" s="6"/>
      <c r="D253" s="15"/>
      <c r="E253" s="15"/>
    </row>
    <row r="254">
      <c r="B254" s="6"/>
      <c r="D254" s="15"/>
      <c r="E254" s="15"/>
    </row>
    <row r="255">
      <c r="B255" s="6"/>
      <c r="D255" s="15"/>
      <c r="E255" s="15"/>
    </row>
    <row r="256">
      <c r="B256" s="6"/>
      <c r="D256" s="15"/>
      <c r="E256" s="15"/>
    </row>
    <row r="257">
      <c r="B257" s="6"/>
      <c r="D257" s="15"/>
      <c r="E257" s="15"/>
    </row>
    <row r="258">
      <c r="B258" s="6"/>
      <c r="D258" s="15"/>
      <c r="E258" s="15"/>
    </row>
    <row r="259">
      <c r="B259" s="6"/>
      <c r="D259" s="15"/>
      <c r="E259" s="15"/>
    </row>
    <row r="260">
      <c r="B260" s="6"/>
      <c r="D260" s="15"/>
      <c r="E260" s="15"/>
    </row>
    <row r="261">
      <c r="B261" s="6"/>
      <c r="D261" s="15"/>
      <c r="E261" s="15"/>
    </row>
    <row r="262">
      <c r="B262" s="6"/>
      <c r="D262" s="15"/>
      <c r="E262" s="15"/>
    </row>
    <row r="263">
      <c r="B263" s="6"/>
      <c r="D263" s="15"/>
      <c r="E263" s="15"/>
    </row>
    <row r="264">
      <c r="B264" s="6"/>
      <c r="D264" s="15"/>
      <c r="E264" s="15"/>
    </row>
    <row r="265">
      <c r="B265" s="6"/>
      <c r="D265" s="15"/>
      <c r="E265" s="15"/>
    </row>
    <row r="266">
      <c r="B266" s="6"/>
      <c r="D266" s="15"/>
      <c r="E266" s="15"/>
    </row>
    <row r="267">
      <c r="B267" s="6"/>
      <c r="D267" s="15"/>
      <c r="E267" s="15"/>
    </row>
    <row r="268">
      <c r="B268" s="6"/>
      <c r="D268" s="15"/>
      <c r="E268" s="15"/>
    </row>
    <row r="269">
      <c r="B269" s="6"/>
      <c r="D269" s="15"/>
      <c r="E269" s="15"/>
    </row>
    <row r="270">
      <c r="B270" s="6"/>
      <c r="D270" s="15"/>
      <c r="E270" s="15"/>
    </row>
    <row r="271">
      <c r="B271" s="6"/>
      <c r="D271" s="15"/>
      <c r="E271" s="15"/>
    </row>
    <row r="272">
      <c r="B272" s="6"/>
      <c r="D272" s="15"/>
      <c r="E272" s="15"/>
    </row>
    <row r="273">
      <c r="B273" s="6"/>
      <c r="D273" s="15"/>
      <c r="E273" s="15"/>
    </row>
    <row r="274">
      <c r="B274" s="6"/>
      <c r="D274" s="15"/>
      <c r="E274" s="15"/>
    </row>
    <row r="275">
      <c r="B275" s="6"/>
      <c r="D275" s="15"/>
      <c r="E275" s="15"/>
    </row>
    <row r="276">
      <c r="B276" s="6"/>
      <c r="D276" s="15"/>
      <c r="E276" s="15"/>
    </row>
    <row r="277">
      <c r="B277" s="6"/>
      <c r="D277" s="15"/>
      <c r="E277" s="15"/>
    </row>
    <row r="278">
      <c r="B278" s="6"/>
      <c r="D278" s="15"/>
      <c r="E278" s="15"/>
    </row>
    <row r="279">
      <c r="B279" s="6"/>
      <c r="D279" s="15"/>
      <c r="E279" s="15"/>
    </row>
    <row r="280">
      <c r="B280" s="6"/>
      <c r="D280" s="15"/>
      <c r="E280" s="15"/>
    </row>
    <row r="281">
      <c r="B281" s="6"/>
      <c r="D281" s="15"/>
      <c r="E281" s="15"/>
    </row>
    <row r="282">
      <c r="B282" s="6"/>
      <c r="D282" s="15"/>
      <c r="E282" s="15"/>
    </row>
    <row r="283">
      <c r="B283" s="6"/>
      <c r="D283" s="15"/>
      <c r="E283" s="15"/>
    </row>
    <row r="284">
      <c r="B284" s="6"/>
      <c r="D284" s="15"/>
      <c r="E284" s="15"/>
    </row>
    <row r="285">
      <c r="B285" s="6"/>
      <c r="D285" s="15"/>
      <c r="E285" s="15"/>
    </row>
    <row r="286">
      <c r="B286" s="6"/>
      <c r="D286" s="15"/>
      <c r="E286" s="15"/>
    </row>
    <row r="287">
      <c r="B287" s="6"/>
      <c r="D287" s="15"/>
      <c r="E287" s="15"/>
    </row>
    <row r="288">
      <c r="B288" s="6"/>
      <c r="D288" s="15"/>
      <c r="E288" s="15"/>
    </row>
    <row r="289">
      <c r="B289" s="6"/>
      <c r="D289" s="15"/>
      <c r="E289" s="15"/>
    </row>
    <row r="290">
      <c r="B290" s="6"/>
      <c r="D290" s="15"/>
      <c r="E290" s="15"/>
    </row>
    <row r="291">
      <c r="B291" s="6"/>
      <c r="D291" s="15"/>
      <c r="E291" s="15"/>
    </row>
    <row r="292">
      <c r="B292" s="6"/>
      <c r="D292" s="15"/>
      <c r="E292" s="15"/>
    </row>
    <row r="293">
      <c r="B293" s="6"/>
      <c r="D293" s="15"/>
      <c r="E293" s="15"/>
    </row>
    <row r="294">
      <c r="B294" s="6"/>
      <c r="D294" s="15"/>
      <c r="E294" s="15"/>
    </row>
    <row r="295">
      <c r="B295" s="6"/>
      <c r="D295" s="15"/>
      <c r="E295" s="15"/>
    </row>
    <row r="296">
      <c r="B296" s="6"/>
      <c r="D296" s="15"/>
      <c r="E296" s="15"/>
    </row>
    <row r="297">
      <c r="B297" s="6"/>
      <c r="D297" s="15"/>
      <c r="E297" s="15"/>
    </row>
    <row r="298">
      <c r="B298" s="6"/>
      <c r="D298" s="15"/>
      <c r="E298" s="15"/>
    </row>
    <row r="299">
      <c r="B299" s="6"/>
      <c r="D299" s="15"/>
      <c r="E299" s="15"/>
    </row>
    <row r="300">
      <c r="B300" s="6"/>
      <c r="D300" s="15"/>
      <c r="E300" s="15"/>
    </row>
    <row r="301">
      <c r="B301" s="6"/>
      <c r="D301" s="15"/>
      <c r="E301" s="15"/>
    </row>
    <row r="302">
      <c r="B302" s="6"/>
      <c r="D302" s="15"/>
      <c r="E302" s="15"/>
    </row>
    <row r="303">
      <c r="B303" s="6"/>
      <c r="D303" s="15"/>
      <c r="E303" s="15"/>
    </row>
    <row r="304">
      <c r="B304" s="6"/>
      <c r="D304" s="15"/>
      <c r="E304" s="15"/>
    </row>
    <row r="305">
      <c r="B305" s="6"/>
      <c r="D305" s="15"/>
      <c r="E305" s="15"/>
    </row>
    <row r="306">
      <c r="B306" s="6"/>
      <c r="D306" s="15"/>
      <c r="E306" s="15"/>
    </row>
    <row r="307">
      <c r="B307" s="6"/>
      <c r="D307" s="15"/>
      <c r="E307" s="15"/>
    </row>
    <row r="308">
      <c r="B308" s="6"/>
      <c r="D308" s="15"/>
      <c r="E308" s="15"/>
    </row>
    <row r="309">
      <c r="B309" s="6"/>
      <c r="D309" s="15"/>
      <c r="E309" s="15"/>
    </row>
    <row r="310">
      <c r="B310" s="6"/>
      <c r="D310" s="15"/>
      <c r="E310" s="15"/>
    </row>
    <row r="311">
      <c r="B311" s="6"/>
      <c r="D311" s="15"/>
      <c r="E311" s="15"/>
    </row>
    <row r="312">
      <c r="B312" s="6"/>
      <c r="D312" s="15"/>
      <c r="E312" s="15"/>
    </row>
    <row r="313">
      <c r="B313" s="6"/>
      <c r="D313" s="15"/>
      <c r="E313" s="15"/>
    </row>
    <row r="314">
      <c r="B314" s="6"/>
      <c r="D314" s="15"/>
      <c r="E314" s="15"/>
    </row>
    <row r="315">
      <c r="B315" s="6"/>
      <c r="D315" s="15"/>
      <c r="E315" s="15"/>
    </row>
    <row r="316">
      <c r="B316" s="6"/>
      <c r="D316" s="15"/>
      <c r="E316" s="15"/>
    </row>
    <row r="317">
      <c r="B317" s="6"/>
      <c r="D317" s="15"/>
      <c r="E317" s="15"/>
    </row>
    <row r="318">
      <c r="B318" s="6"/>
      <c r="D318" s="15"/>
      <c r="E318" s="15"/>
    </row>
    <row r="319">
      <c r="B319" s="6"/>
      <c r="D319" s="15"/>
      <c r="E319" s="15"/>
    </row>
    <row r="320">
      <c r="B320" s="6"/>
      <c r="D320" s="15"/>
      <c r="E320" s="15"/>
    </row>
    <row r="321">
      <c r="B321" s="6"/>
      <c r="D321" s="15"/>
      <c r="E321" s="15"/>
    </row>
    <row r="322">
      <c r="B322" s="6"/>
      <c r="D322" s="15"/>
      <c r="E322" s="15"/>
    </row>
    <row r="323">
      <c r="B323" s="6"/>
      <c r="D323" s="15"/>
      <c r="E323" s="15"/>
    </row>
    <row r="324">
      <c r="B324" s="6"/>
      <c r="D324" s="15"/>
      <c r="E324" s="15"/>
    </row>
    <row r="325">
      <c r="B325" s="6"/>
      <c r="D325" s="15"/>
      <c r="E325" s="15"/>
    </row>
    <row r="326">
      <c r="B326" s="6"/>
      <c r="D326" s="15"/>
      <c r="E326" s="15"/>
    </row>
    <row r="327">
      <c r="B327" s="6"/>
      <c r="D327" s="15"/>
      <c r="E327" s="15"/>
    </row>
    <row r="328">
      <c r="B328" s="6"/>
      <c r="D328" s="15"/>
      <c r="E328" s="15"/>
    </row>
    <row r="329">
      <c r="B329" s="6"/>
      <c r="D329" s="15"/>
      <c r="E329" s="15"/>
    </row>
    <row r="330">
      <c r="B330" s="6"/>
      <c r="D330" s="15"/>
      <c r="E330" s="15"/>
    </row>
    <row r="331">
      <c r="B331" s="6"/>
      <c r="D331" s="15"/>
      <c r="E331" s="15"/>
    </row>
    <row r="332">
      <c r="B332" s="6"/>
      <c r="D332" s="15"/>
      <c r="E332" s="15"/>
    </row>
    <row r="333">
      <c r="B333" s="6"/>
      <c r="D333" s="15"/>
      <c r="E333" s="15"/>
    </row>
    <row r="334">
      <c r="B334" s="6"/>
      <c r="D334" s="15"/>
      <c r="E334" s="15"/>
    </row>
    <row r="335">
      <c r="B335" s="6"/>
      <c r="D335" s="15"/>
      <c r="E335" s="15"/>
    </row>
    <row r="336">
      <c r="B336" s="6"/>
      <c r="D336" s="15"/>
      <c r="E336" s="15"/>
    </row>
    <row r="337">
      <c r="B337" s="6"/>
      <c r="D337" s="15"/>
      <c r="E337" s="15"/>
    </row>
    <row r="338">
      <c r="B338" s="6"/>
      <c r="D338" s="15"/>
      <c r="E338" s="15"/>
    </row>
    <row r="339">
      <c r="B339" s="6"/>
      <c r="D339" s="15"/>
      <c r="E339" s="15"/>
    </row>
    <row r="340">
      <c r="B340" s="6"/>
      <c r="D340" s="15"/>
      <c r="E340" s="15"/>
    </row>
    <row r="341">
      <c r="B341" s="6"/>
      <c r="D341" s="15"/>
      <c r="E341" s="15"/>
    </row>
    <row r="342">
      <c r="B342" s="6"/>
      <c r="D342" s="15"/>
      <c r="E342" s="15"/>
    </row>
    <row r="343">
      <c r="B343" s="6"/>
      <c r="D343" s="15"/>
      <c r="E343" s="15"/>
    </row>
    <row r="344">
      <c r="B344" s="6"/>
      <c r="D344" s="15"/>
      <c r="E344" s="15"/>
    </row>
    <row r="345">
      <c r="B345" s="6"/>
      <c r="D345" s="15"/>
      <c r="E345" s="15"/>
    </row>
    <row r="346">
      <c r="B346" s="6"/>
      <c r="D346" s="15"/>
      <c r="E346" s="15"/>
    </row>
    <row r="347">
      <c r="B347" s="6"/>
      <c r="D347" s="15"/>
      <c r="E347" s="15"/>
    </row>
    <row r="348">
      <c r="B348" s="6"/>
      <c r="D348" s="15"/>
      <c r="E348" s="15"/>
    </row>
    <row r="349">
      <c r="B349" s="6"/>
      <c r="D349" s="15"/>
      <c r="E349" s="15"/>
    </row>
    <row r="350">
      <c r="B350" s="6"/>
      <c r="D350" s="15"/>
      <c r="E350" s="15"/>
    </row>
    <row r="351">
      <c r="B351" s="6"/>
      <c r="D351" s="15"/>
      <c r="E351" s="15"/>
    </row>
    <row r="352">
      <c r="B352" s="6"/>
      <c r="D352" s="15"/>
      <c r="E352" s="15"/>
    </row>
    <row r="353">
      <c r="B353" s="6"/>
      <c r="D353" s="15"/>
      <c r="E353" s="15"/>
    </row>
    <row r="354">
      <c r="B354" s="6"/>
      <c r="D354" s="15"/>
      <c r="E354" s="15"/>
    </row>
    <row r="355">
      <c r="B355" s="6"/>
      <c r="D355" s="15"/>
      <c r="E355" s="15"/>
    </row>
    <row r="356">
      <c r="B356" s="6"/>
      <c r="D356" s="15"/>
      <c r="E356" s="15"/>
    </row>
    <row r="357">
      <c r="B357" s="6"/>
      <c r="D357" s="15"/>
      <c r="E357" s="15"/>
    </row>
    <row r="358">
      <c r="B358" s="6"/>
      <c r="D358" s="15"/>
      <c r="E358" s="15"/>
    </row>
    <row r="359">
      <c r="B359" s="6"/>
      <c r="D359" s="15"/>
      <c r="E359" s="15"/>
    </row>
    <row r="360">
      <c r="B360" s="6"/>
      <c r="D360" s="15"/>
      <c r="E360" s="15"/>
    </row>
    <row r="361">
      <c r="B361" s="6"/>
      <c r="D361" s="15"/>
      <c r="E361" s="15"/>
    </row>
    <row r="362">
      <c r="B362" s="6"/>
      <c r="D362" s="15"/>
      <c r="E362" s="15"/>
    </row>
    <row r="363">
      <c r="B363" s="6"/>
      <c r="D363" s="15"/>
      <c r="E363" s="15"/>
    </row>
    <row r="364">
      <c r="B364" s="6"/>
      <c r="D364" s="15"/>
      <c r="E364" s="15"/>
    </row>
    <row r="365">
      <c r="B365" s="6"/>
      <c r="D365" s="15"/>
      <c r="E365" s="15"/>
    </row>
    <row r="366">
      <c r="B366" s="6"/>
      <c r="D366" s="15"/>
      <c r="E366" s="15"/>
    </row>
    <row r="367">
      <c r="B367" s="6"/>
      <c r="D367" s="15"/>
      <c r="E367" s="15"/>
    </row>
    <row r="368">
      <c r="B368" s="6"/>
      <c r="D368" s="15"/>
      <c r="E368" s="15"/>
    </row>
    <row r="369">
      <c r="B369" s="6"/>
      <c r="D369" s="15"/>
      <c r="E369" s="15"/>
    </row>
    <row r="370">
      <c r="B370" s="6"/>
      <c r="D370" s="15"/>
      <c r="E370" s="15"/>
    </row>
    <row r="371">
      <c r="B371" s="6"/>
      <c r="D371" s="15"/>
      <c r="E371" s="15"/>
    </row>
    <row r="372">
      <c r="B372" s="6"/>
      <c r="D372" s="15"/>
      <c r="E372" s="15"/>
    </row>
    <row r="373">
      <c r="B373" s="6"/>
      <c r="D373" s="15"/>
      <c r="E373" s="15"/>
    </row>
    <row r="374">
      <c r="B374" s="6"/>
      <c r="D374" s="15"/>
      <c r="E374" s="15"/>
    </row>
    <row r="375">
      <c r="B375" s="6"/>
      <c r="D375" s="15"/>
      <c r="E375" s="15"/>
    </row>
    <row r="376">
      <c r="B376" s="6"/>
      <c r="D376" s="15"/>
      <c r="E376" s="15"/>
    </row>
    <row r="377">
      <c r="B377" s="6"/>
      <c r="D377" s="15"/>
      <c r="E377" s="15"/>
    </row>
    <row r="378">
      <c r="B378" s="6"/>
      <c r="D378" s="15"/>
      <c r="E378" s="15"/>
    </row>
    <row r="379">
      <c r="B379" s="6"/>
      <c r="D379" s="15"/>
      <c r="E379" s="15"/>
    </row>
    <row r="380">
      <c r="B380" s="6"/>
      <c r="D380" s="15"/>
      <c r="E380" s="15"/>
    </row>
    <row r="381">
      <c r="B381" s="6"/>
      <c r="D381" s="15"/>
      <c r="E381" s="15"/>
    </row>
    <row r="382">
      <c r="B382" s="6"/>
      <c r="D382" s="15"/>
      <c r="E382" s="15"/>
    </row>
    <row r="383">
      <c r="B383" s="6"/>
      <c r="D383" s="15"/>
      <c r="E383" s="15"/>
    </row>
    <row r="384">
      <c r="B384" s="6"/>
      <c r="D384" s="15"/>
      <c r="E384" s="15"/>
    </row>
    <row r="385">
      <c r="B385" s="6"/>
      <c r="D385" s="15"/>
      <c r="E385" s="15"/>
    </row>
    <row r="386">
      <c r="B386" s="6"/>
      <c r="D386" s="15"/>
      <c r="E386" s="15"/>
    </row>
    <row r="387">
      <c r="B387" s="6"/>
      <c r="D387" s="15"/>
      <c r="E387" s="15"/>
    </row>
    <row r="388">
      <c r="B388" s="6"/>
      <c r="D388" s="15"/>
      <c r="E388" s="15"/>
    </row>
    <row r="389">
      <c r="B389" s="6"/>
      <c r="D389" s="15"/>
      <c r="E389" s="15"/>
    </row>
    <row r="390">
      <c r="B390" s="6"/>
      <c r="D390" s="15"/>
      <c r="E390" s="15"/>
    </row>
    <row r="391">
      <c r="B391" s="6"/>
      <c r="D391" s="15"/>
      <c r="E391" s="15"/>
    </row>
    <row r="392">
      <c r="B392" s="6"/>
      <c r="D392" s="15"/>
      <c r="E392" s="15"/>
    </row>
    <row r="393">
      <c r="B393" s="6"/>
      <c r="D393" s="15"/>
      <c r="E393" s="15"/>
    </row>
    <row r="394">
      <c r="B394" s="6"/>
      <c r="D394" s="15"/>
      <c r="E394" s="15"/>
    </row>
    <row r="395">
      <c r="B395" s="6"/>
      <c r="D395" s="15"/>
      <c r="E395" s="15"/>
    </row>
    <row r="396">
      <c r="B396" s="6"/>
      <c r="D396" s="15"/>
      <c r="E396" s="15"/>
    </row>
    <row r="397">
      <c r="B397" s="6"/>
      <c r="D397" s="15"/>
      <c r="E397" s="15"/>
    </row>
    <row r="398">
      <c r="B398" s="6"/>
      <c r="D398" s="15"/>
      <c r="E398" s="15"/>
    </row>
    <row r="399">
      <c r="B399" s="6"/>
      <c r="D399" s="15"/>
      <c r="E399" s="15"/>
    </row>
    <row r="400">
      <c r="B400" s="6"/>
      <c r="D400" s="15"/>
      <c r="E400" s="15"/>
    </row>
    <row r="401">
      <c r="B401" s="6"/>
      <c r="D401" s="15"/>
      <c r="E401" s="15"/>
    </row>
    <row r="402">
      <c r="B402" s="6"/>
      <c r="D402" s="15"/>
      <c r="E402" s="15"/>
    </row>
    <row r="403">
      <c r="B403" s="6"/>
      <c r="D403" s="15"/>
      <c r="E403" s="15"/>
    </row>
    <row r="404">
      <c r="B404" s="6"/>
      <c r="D404" s="15"/>
      <c r="E404" s="15"/>
    </row>
    <row r="405">
      <c r="B405" s="6"/>
      <c r="D405" s="15"/>
      <c r="E405" s="15"/>
    </row>
    <row r="406">
      <c r="B406" s="6"/>
      <c r="D406" s="15"/>
      <c r="E406" s="15"/>
    </row>
    <row r="407">
      <c r="B407" s="6"/>
      <c r="D407" s="15"/>
      <c r="E407" s="15"/>
    </row>
    <row r="408">
      <c r="B408" s="6"/>
      <c r="D408" s="15"/>
      <c r="E408" s="15"/>
    </row>
    <row r="409">
      <c r="B409" s="6"/>
      <c r="D409" s="15"/>
      <c r="E409" s="15"/>
    </row>
    <row r="410">
      <c r="B410" s="6"/>
      <c r="D410" s="15"/>
      <c r="E410" s="15"/>
    </row>
    <row r="411">
      <c r="B411" s="6"/>
      <c r="D411" s="15"/>
      <c r="E411" s="15"/>
    </row>
    <row r="412">
      <c r="B412" s="6"/>
      <c r="D412" s="15"/>
      <c r="E412" s="15"/>
    </row>
    <row r="413">
      <c r="B413" s="6"/>
      <c r="D413" s="15"/>
      <c r="E413" s="15"/>
    </row>
    <row r="414">
      <c r="B414" s="6"/>
      <c r="D414" s="15"/>
      <c r="E414" s="15"/>
    </row>
    <row r="415">
      <c r="B415" s="6"/>
      <c r="D415" s="15"/>
      <c r="E415" s="15"/>
    </row>
    <row r="416">
      <c r="B416" s="6"/>
      <c r="D416" s="15"/>
      <c r="E416" s="15"/>
    </row>
    <row r="417">
      <c r="B417" s="6"/>
      <c r="D417" s="15"/>
      <c r="E417" s="15"/>
    </row>
    <row r="418">
      <c r="B418" s="6"/>
      <c r="D418" s="15"/>
      <c r="E418" s="15"/>
    </row>
    <row r="419">
      <c r="B419" s="6"/>
      <c r="D419" s="15"/>
      <c r="E419" s="15"/>
    </row>
    <row r="420">
      <c r="B420" s="6"/>
      <c r="D420" s="15"/>
      <c r="E420" s="15"/>
    </row>
    <row r="421">
      <c r="B421" s="6"/>
      <c r="D421" s="15"/>
      <c r="E421" s="15"/>
    </row>
    <row r="422">
      <c r="B422" s="6"/>
      <c r="D422" s="15"/>
      <c r="E422" s="15"/>
    </row>
    <row r="423">
      <c r="B423" s="6"/>
      <c r="D423" s="15"/>
      <c r="E423" s="15"/>
    </row>
    <row r="424">
      <c r="B424" s="6"/>
      <c r="D424" s="15"/>
      <c r="E424" s="15"/>
    </row>
    <row r="425">
      <c r="B425" s="6"/>
      <c r="D425" s="15"/>
      <c r="E425" s="15"/>
    </row>
    <row r="426">
      <c r="B426" s="6"/>
      <c r="D426" s="15"/>
      <c r="E426" s="15"/>
    </row>
    <row r="427">
      <c r="B427" s="6"/>
      <c r="D427" s="15"/>
      <c r="E427" s="15"/>
    </row>
    <row r="428">
      <c r="B428" s="6"/>
      <c r="D428" s="15"/>
      <c r="E428" s="15"/>
    </row>
    <row r="429">
      <c r="B429" s="6"/>
      <c r="D429" s="15"/>
      <c r="E429" s="15"/>
    </row>
    <row r="430">
      <c r="B430" s="6"/>
      <c r="D430" s="15"/>
      <c r="E430" s="15"/>
    </row>
    <row r="431">
      <c r="B431" s="6"/>
      <c r="D431" s="15"/>
      <c r="E431" s="15"/>
    </row>
    <row r="432">
      <c r="B432" s="6"/>
      <c r="D432" s="15"/>
      <c r="E432" s="15"/>
    </row>
    <row r="433">
      <c r="B433" s="6"/>
      <c r="D433" s="15"/>
      <c r="E433" s="15"/>
    </row>
    <row r="434">
      <c r="B434" s="6"/>
      <c r="D434" s="15"/>
      <c r="E434" s="15"/>
    </row>
    <row r="435">
      <c r="B435" s="6"/>
      <c r="D435" s="15"/>
      <c r="E435" s="15"/>
    </row>
    <row r="436">
      <c r="B436" s="6"/>
      <c r="D436" s="15"/>
      <c r="E436" s="15"/>
    </row>
    <row r="437">
      <c r="B437" s="6"/>
      <c r="D437" s="15"/>
      <c r="E437" s="15"/>
    </row>
    <row r="438">
      <c r="B438" s="6"/>
      <c r="D438" s="15"/>
      <c r="E438" s="15"/>
    </row>
    <row r="439">
      <c r="B439" s="6"/>
      <c r="D439" s="15"/>
      <c r="E439" s="15"/>
    </row>
    <row r="440">
      <c r="B440" s="6"/>
      <c r="D440" s="15"/>
      <c r="E440" s="15"/>
    </row>
    <row r="441">
      <c r="B441" s="6"/>
      <c r="D441" s="15"/>
      <c r="E441" s="15"/>
    </row>
    <row r="442">
      <c r="B442" s="6"/>
      <c r="D442" s="15"/>
      <c r="E442" s="15"/>
    </row>
    <row r="443">
      <c r="B443" s="6"/>
      <c r="D443" s="15"/>
      <c r="E443" s="15"/>
    </row>
    <row r="444">
      <c r="B444" s="6"/>
      <c r="D444" s="15"/>
      <c r="E444" s="15"/>
    </row>
    <row r="445">
      <c r="B445" s="6"/>
      <c r="D445" s="15"/>
      <c r="E445" s="15"/>
    </row>
    <row r="446">
      <c r="B446" s="6"/>
      <c r="D446" s="15"/>
      <c r="E446" s="15"/>
    </row>
    <row r="447">
      <c r="B447" s="6"/>
      <c r="D447" s="15"/>
      <c r="E447" s="15"/>
    </row>
    <row r="448">
      <c r="B448" s="6"/>
      <c r="D448" s="15"/>
      <c r="E448" s="15"/>
    </row>
    <row r="449">
      <c r="B449" s="6"/>
      <c r="D449" s="15"/>
      <c r="E449" s="15"/>
    </row>
    <row r="450">
      <c r="B450" s="6"/>
      <c r="D450" s="15"/>
      <c r="E450" s="15"/>
    </row>
    <row r="451">
      <c r="B451" s="6"/>
      <c r="D451" s="15"/>
      <c r="E451" s="15"/>
    </row>
    <row r="452">
      <c r="B452" s="6"/>
      <c r="D452" s="15"/>
      <c r="E452" s="15"/>
    </row>
    <row r="453">
      <c r="B453" s="6"/>
      <c r="D453" s="15"/>
      <c r="E453" s="15"/>
    </row>
    <row r="454">
      <c r="B454" s="6"/>
      <c r="D454" s="15"/>
      <c r="E454" s="15"/>
    </row>
    <row r="455">
      <c r="B455" s="6"/>
      <c r="D455" s="15"/>
      <c r="E455" s="15"/>
    </row>
    <row r="456">
      <c r="B456" s="6"/>
      <c r="D456" s="15"/>
      <c r="E456" s="15"/>
    </row>
    <row r="457">
      <c r="B457" s="6"/>
      <c r="D457" s="15"/>
      <c r="E457" s="15"/>
    </row>
    <row r="458">
      <c r="B458" s="6"/>
      <c r="D458" s="15"/>
      <c r="E458" s="15"/>
    </row>
    <row r="459">
      <c r="B459" s="6"/>
      <c r="D459" s="15"/>
      <c r="E459" s="15"/>
    </row>
    <row r="460">
      <c r="B460" s="6"/>
      <c r="D460" s="15"/>
      <c r="E460" s="15"/>
    </row>
    <row r="461">
      <c r="B461" s="6"/>
      <c r="D461" s="15"/>
      <c r="E461" s="15"/>
    </row>
    <row r="462">
      <c r="B462" s="6"/>
      <c r="D462" s="15"/>
      <c r="E462" s="15"/>
    </row>
    <row r="463">
      <c r="B463" s="6"/>
      <c r="D463" s="15"/>
      <c r="E463" s="15"/>
    </row>
    <row r="464">
      <c r="B464" s="6"/>
      <c r="D464" s="15"/>
      <c r="E464" s="15"/>
    </row>
    <row r="465">
      <c r="B465" s="6"/>
      <c r="D465" s="15"/>
      <c r="E465" s="15"/>
    </row>
    <row r="466">
      <c r="B466" s="6"/>
      <c r="D466" s="15"/>
      <c r="E466" s="15"/>
    </row>
    <row r="467">
      <c r="B467" s="6"/>
      <c r="D467" s="15"/>
      <c r="E467" s="15"/>
    </row>
    <row r="468">
      <c r="B468" s="6"/>
      <c r="D468" s="15"/>
      <c r="E468" s="15"/>
    </row>
    <row r="469">
      <c r="B469" s="6"/>
      <c r="D469" s="15"/>
      <c r="E469" s="15"/>
    </row>
    <row r="470">
      <c r="B470" s="6"/>
      <c r="D470" s="15"/>
      <c r="E470" s="15"/>
    </row>
    <row r="471">
      <c r="B471" s="6"/>
      <c r="D471" s="15"/>
      <c r="E471" s="15"/>
    </row>
    <row r="472">
      <c r="B472" s="6"/>
      <c r="D472" s="15"/>
      <c r="E472" s="15"/>
    </row>
    <row r="473">
      <c r="B473" s="6"/>
      <c r="D473" s="15"/>
      <c r="E473" s="15"/>
    </row>
    <row r="474">
      <c r="B474" s="6"/>
      <c r="D474" s="15"/>
      <c r="E474" s="15"/>
    </row>
    <row r="475">
      <c r="B475" s="6"/>
      <c r="D475" s="15"/>
      <c r="E475" s="15"/>
    </row>
    <row r="476">
      <c r="B476" s="6"/>
      <c r="D476" s="15"/>
      <c r="E476" s="15"/>
    </row>
    <row r="477">
      <c r="B477" s="6"/>
      <c r="D477" s="15"/>
      <c r="E477" s="15"/>
    </row>
    <row r="478">
      <c r="B478" s="6"/>
      <c r="D478" s="15"/>
      <c r="E478" s="15"/>
    </row>
    <row r="479">
      <c r="B479" s="6"/>
      <c r="D479" s="15"/>
      <c r="E479" s="15"/>
    </row>
    <row r="480">
      <c r="B480" s="6"/>
      <c r="D480" s="15"/>
      <c r="E480" s="15"/>
    </row>
    <row r="481">
      <c r="B481" s="6"/>
      <c r="D481" s="15"/>
      <c r="E481" s="15"/>
    </row>
    <row r="482">
      <c r="B482" s="6"/>
      <c r="D482" s="15"/>
      <c r="E482" s="15"/>
    </row>
    <row r="483">
      <c r="B483" s="6"/>
      <c r="D483" s="15"/>
      <c r="E483" s="15"/>
    </row>
    <row r="484">
      <c r="B484" s="6"/>
      <c r="D484" s="15"/>
      <c r="E484" s="15"/>
    </row>
    <row r="485">
      <c r="B485" s="6"/>
      <c r="D485" s="15"/>
      <c r="E485" s="15"/>
    </row>
    <row r="486">
      <c r="B486" s="6"/>
      <c r="D486" s="15"/>
      <c r="E486" s="15"/>
    </row>
    <row r="487">
      <c r="B487" s="6"/>
      <c r="D487" s="15"/>
      <c r="E487" s="15"/>
    </row>
    <row r="488">
      <c r="B488" s="6"/>
      <c r="D488" s="15"/>
      <c r="E488" s="15"/>
    </row>
    <row r="489">
      <c r="B489" s="6"/>
      <c r="D489" s="15"/>
      <c r="E489" s="15"/>
    </row>
    <row r="490">
      <c r="B490" s="6"/>
      <c r="D490" s="15"/>
      <c r="E490" s="15"/>
    </row>
    <row r="491">
      <c r="B491" s="6"/>
      <c r="D491" s="15"/>
      <c r="E491" s="15"/>
    </row>
    <row r="492">
      <c r="B492" s="6"/>
      <c r="D492" s="15"/>
      <c r="E492" s="15"/>
    </row>
    <row r="493">
      <c r="B493" s="6"/>
      <c r="D493" s="15"/>
      <c r="E493" s="15"/>
    </row>
    <row r="494">
      <c r="B494" s="6"/>
      <c r="D494" s="15"/>
      <c r="E494" s="15"/>
    </row>
    <row r="495">
      <c r="B495" s="6"/>
      <c r="D495" s="15"/>
      <c r="E495" s="15"/>
    </row>
    <row r="496">
      <c r="B496" s="6"/>
      <c r="D496" s="15"/>
      <c r="E496" s="15"/>
    </row>
    <row r="497">
      <c r="B497" s="6"/>
      <c r="D497" s="15"/>
      <c r="E497" s="15"/>
    </row>
    <row r="498">
      <c r="B498" s="6"/>
      <c r="D498" s="15"/>
      <c r="E498" s="15"/>
    </row>
    <row r="499">
      <c r="B499" s="6"/>
      <c r="D499" s="15"/>
      <c r="E499" s="15"/>
    </row>
    <row r="500">
      <c r="B500" s="6"/>
      <c r="D500" s="15"/>
      <c r="E500" s="15"/>
    </row>
    <row r="501">
      <c r="B501" s="6"/>
      <c r="D501" s="15"/>
      <c r="E501" s="15"/>
    </row>
    <row r="502">
      <c r="B502" s="6"/>
      <c r="D502" s="15"/>
      <c r="E502" s="15"/>
    </row>
    <row r="503">
      <c r="B503" s="6"/>
      <c r="D503" s="15"/>
      <c r="E503" s="15"/>
    </row>
    <row r="504">
      <c r="B504" s="6"/>
      <c r="D504" s="15"/>
      <c r="E504" s="15"/>
    </row>
    <row r="505">
      <c r="B505" s="6"/>
      <c r="D505" s="15"/>
      <c r="E505" s="15"/>
    </row>
    <row r="506">
      <c r="B506" s="6"/>
      <c r="D506" s="15"/>
      <c r="E506" s="15"/>
    </row>
    <row r="507">
      <c r="B507" s="6"/>
      <c r="D507" s="15"/>
      <c r="E507" s="15"/>
    </row>
    <row r="508">
      <c r="B508" s="6"/>
      <c r="D508" s="15"/>
      <c r="E508" s="15"/>
    </row>
    <row r="509">
      <c r="B509" s="6"/>
      <c r="D509" s="15"/>
      <c r="E509" s="15"/>
    </row>
    <row r="510">
      <c r="B510" s="6"/>
      <c r="D510" s="15"/>
      <c r="E510" s="15"/>
    </row>
    <row r="511">
      <c r="B511" s="6"/>
      <c r="D511" s="15"/>
      <c r="E511" s="15"/>
    </row>
    <row r="512">
      <c r="B512" s="6"/>
      <c r="D512" s="15"/>
      <c r="E512" s="15"/>
    </row>
    <row r="513">
      <c r="B513" s="6"/>
      <c r="D513" s="15"/>
      <c r="E513" s="15"/>
    </row>
    <row r="514">
      <c r="B514" s="6"/>
      <c r="D514" s="15"/>
      <c r="E514" s="15"/>
    </row>
    <row r="515">
      <c r="B515" s="6"/>
      <c r="D515" s="15"/>
      <c r="E515" s="15"/>
    </row>
    <row r="516">
      <c r="B516" s="6"/>
      <c r="D516" s="15"/>
      <c r="E516" s="15"/>
    </row>
    <row r="517">
      <c r="B517" s="6"/>
      <c r="D517" s="15"/>
      <c r="E517" s="15"/>
    </row>
    <row r="518">
      <c r="B518" s="6"/>
      <c r="D518" s="15"/>
      <c r="E518" s="15"/>
    </row>
    <row r="519">
      <c r="B519" s="6"/>
      <c r="D519" s="15"/>
      <c r="E519" s="15"/>
    </row>
    <row r="520">
      <c r="B520" s="6"/>
      <c r="D520" s="15"/>
      <c r="E520" s="15"/>
    </row>
    <row r="521">
      <c r="B521" s="6"/>
      <c r="D521" s="15"/>
      <c r="E521" s="15"/>
    </row>
    <row r="522">
      <c r="B522" s="6"/>
      <c r="D522" s="15"/>
      <c r="E522" s="15"/>
    </row>
    <row r="523">
      <c r="B523" s="6"/>
      <c r="D523" s="15"/>
      <c r="E523" s="15"/>
    </row>
    <row r="524">
      <c r="B524" s="6"/>
      <c r="D524" s="15"/>
      <c r="E524" s="15"/>
    </row>
    <row r="525">
      <c r="B525" s="6"/>
      <c r="D525" s="15"/>
      <c r="E525" s="15"/>
    </row>
    <row r="526">
      <c r="B526" s="6"/>
      <c r="D526" s="15"/>
      <c r="E526" s="15"/>
    </row>
    <row r="527">
      <c r="B527" s="6"/>
      <c r="D527" s="15"/>
      <c r="E527" s="15"/>
    </row>
    <row r="528">
      <c r="B528" s="6"/>
      <c r="D528" s="15"/>
      <c r="E528" s="15"/>
    </row>
    <row r="529">
      <c r="B529" s="6"/>
      <c r="D529" s="15"/>
      <c r="E529" s="15"/>
    </row>
    <row r="530">
      <c r="B530" s="6"/>
      <c r="D530" s="15"/>
      <c r="E530" s="15"/>
    </row>
    <row r="531">
      <c r="B531" s="6"/>
      <c r="D531" s="15"/>
      <c r="E531" s="15"/>
    </row>
    <row r="532">
      <c r="B532" s="6"/>
      <c r="D532" s="15"/>
      <c r="E532" s="15"/>
    </row>
    <row r="533">
      <c r="B533" s="6"/>
      <c r="D533" s="15"/>
      <c r="E533" s="15"/>
    </row>
    <row r="534">
      <c r="B534" s="6"/>
      <c r="D534" s="15"/>
      <c r="E534" s="15"/>
    </row>
    <row r="535">
      <c r="B535" s="6"/>
      <c r="D535" s="15"/>
      <c r="E535" s="15"/>
    </row>
    <row r="536">
      <c r="B536" s="6"/>
      <c r="D536" s="15"/>
      <c r="E536" s="15"/>
    </row>
    <row r="537">
      <c r="B537" s="6"/>
      <c r="D537" s="15"/>
      <c r="E537" s="15"/>
    </row>
    <row r="538">
      <c r="B538" s="6"/>
      <c r="D538" s="15"/>
      <c r="E538" s="15"/>
    </row>
    <row r="539">
      <c r="B539" s="6"/>
      <c r="D539" s="15"/>
      <c r="E539" s="15"/>
    </row>
    <row r="540">
      <c r="B540" s="6"/>
      <c r="D540" s="15"/>
      <c r="E540" s="15"/>
    </row>
    <row r="541">
      <c r="B541" s="6"/>
      <c r="D541" s="15"/>
      <c r="E541" s="15"/>
    </row>
    <row r="542">
      <c r="B542" s="6"/>
      <c r="D542" s="15"/>
      <c r="E542" s="15"/>
    </row>
    <row r="543">
      <c r="B543" s="6"/>
      <c r="D543" s="15"/>
      <c r="E543" s="15"/>
    </row>
    <row r="544">
      <c r="B544" s="6"/>
      <c r="D544" s="15"/>
      <c r="E544" s="15"/>
    </row>
    <row r="545">
      <c r="B545" s="6"/>
      <c r="D545" s="15"/>
      <c r="E545" s="15"/>
    </row>
    <row r="546">
      <c r="B546" s="6"/>
      <c r="D546" s="15"/>
      <c r="E546" s="15"/>
    </row>
    <row r="547">
      <c r="B547" s="6"/>
      <c r="D547" s="15"/>
      <c r="E547" s="15"/>
    </row>
    <row r="548">
      <c r="B548" s="6"/>
      <c r="D548" s="15"/>
      <c r="E548" s="15"/>
    </row>
    <row r="549">
      <c r="B549" s="6"/>
      <c r="D549" s="15"/>
      <c r="E549" s="15"/>
    </row>
    <row r="550">
      <c r="B550" s="6"/>
      <c r="D550" s="15"/>
      <c r="E550" s="15"/>
    </row>
    <row r="551">
      <c r="B551" s="6"/>
      <c r="D551" s="15"/>
      <c r="E551" s="15"/>
    </row>
    <row r="552">
      <c r="B552" s="6"/>
      <c r="D552" s="15"/>
      <c r="E552" s="15"/>
    </row>
    <row r="553">
      <c r="B553" s="6"/>
      <c r="D553" s="15"/>
      <c r="E553" s="15"/>
    </row>
    <row r="554">
      <c r="B554" s="6"/>
      <c r="D554" s="15"/>
      <c r="E554" s="15"/>
    </row>
    <row r="555">
      <c r="B555" s="6"/>
      <c r="D555" s="15"/>
      <c r="E555" s="15"/>
    </row>
    <row r="556">
      <c r="B556" s="6"/>
      <c r="D556" s="15"/>
      <c r="E556" s="15"/>
    </row>
    <row r="557">
      <c r="B557" s="6"/>
      <c r="D557" s="15"/>
      <c r="E557" s="15"/>
    </row>
    <row r="558">
      <c r="B558" s="6"/>
      <c r="D558" s="15"/>
      <c r="E558" s="15"/>
    </row>
    <row r="559">
      <c r="B559" s="6"/>
      <c r="D559" s="15"/>
      <c r="E559" s="15"/>
    </row>
    <row r="560">
      <c r="B560" s="6"/>
      <c r="D560" s="15"/>
      <c r="E560" s="15"/>
    </row>
    <row r="561">
      <c r="B561" s="6"/>
      <c r="D561" s="15"/>
      <c r="E561" s="15"/>
    </row>
    <row r="562">
      <c r="B562" s="6"/>
      <c r="D562" s="15"/>
      <c r="E562" s="15"/>
    </row>
    <row r="563">
      <c r="B563" s="6"/>
      <c r="D563" s="15"/>
      <c r="E563" s="15"/>
    </row>
    <row r="564">
      <c r="B564" s="6"/>
      <c r="D564" s="15"/>
      <c r="E564" s="15"/>
    </row>
    <row r="565">
      <c r="B565" s="6"/>
      <c r="D565" s="15"/>
      <c r="E565" s="15"/>
    </row>
    <row r="566">
      <c r="B566" s="6"/>
      <c r="D566" s="15"/>
      <c r="E566" s="15"/>
    </row>
    <row r="567">
      <c r="B567" s="6"/>
      <c r="D567" s="15"/>
      <c r="E567" s="15"/>
    </row>
    <row r="568">
      <c r="B568" s="6"/>
      <c r="D568" s="15"/>
      <c r="E568" s="15"/>
    </row>
    <row r="569">
      <c r="B569" s="6"/>
      <c r="D569" s="15"/>
      <c r="E569" s="15"/>
    </row>
    <row r="570">
      <c r="B570" s="6"/>
      <c r="D570" s="15"/>
      <c r="E570" s="15"/>
    </row>
    <row r="571">
      <c r="B571" s="6"/>
      <c r="D571" s="15"/>
      <c r="E571" s="15"/>
    </row>
    <row r="572">
      <c r="B572" s="6"/>
      <c r="D572" s="15"/>
      <c r="E572" s="15"/>
    </row>
    <row r="573">
      <c r="B573" s="6"/>
      <c r="D573" s="15"/>
      <c r="E573" s="15"/>
    </row>
    <row r="574">
      <c r="B574" s="6"/>
      <c r="D574" s="15"/>
      <c r="E574" s="15"/>
    </row>
    <row r="575">
      <c r="B575" s="6"/>
      <c r="D575" s="15"/>
      <c r="E575" s="15"/>
    </row>
    <row r="576">
      <c r="B576" s="6"/>
      <c r="D576" s="15"/>
      <c r="E576" s="15"/>
    </row>
    <row r="577">
      <c r="B577" s="6"/>
      <c r="D577" s="15"/>
      <c r="E577" s="15"/>
    </row>
    <row r="578">
      <c r="B578" s="6"/>
      <c r="D578" s="15"/>
      <c r="E578" s="15"/>
    </row>
    <row r="579">
      <c r="B579" s="6"/>
      <c r="D579" s="15"/>
      <c r="E579" s="15"/>
    </row>
    <row r="580">
      <c r="B580" s="6"/>
      <c r="D580" s="15"/>
      <c r="E580" s="15"/>
    </row>
    <row r="581">
      <c r="B581" s="6"/>
      <c r="D581" s="15"/>
      <c r="E581" s="15"/>
    </row>
    <row r="582">
      <c r="B582" s="6"/>
      <c r="D582" s="15"/>
      <c r="E582" s="15"/>
    </row>
    <row r="583">
      <c r="B583" s="6"/>
      <c r="D583" s="15"/>
      <c r="E583" s="15"/>
    </row>
    <row r="584">
      <c r="B584" s="6"/>
      <c r="D584" s="15"/>
      <c r="E584" s="15"/>
    </row>
    <row r="585">
      <c r="B585" s="6"/>
      <c r="D585" s="15"/>
      <c r="E585" s="15"/>
    </row>
    <row r="586">
      <c r="B586" s="6"/>
      <c r="D586" s="15"/>
      <c r="E586" s="15"/>
    </row>
    <row r="587">
      <c r="B587" s="6"/>
      <c r="D587" s="15"/>
      <c r="E587" s="15"/>
    </row>
    <row r="588">
      <c r="B588" s="6"/>
      <c r="D588" s="15"/>
      <c r="E588" s="15"/>
    </row>
    <row r="589">
      <c r="B589" s="6"/>
      <c r="D589" s="15"/>
      <c r="E589" s="15"/>
    </row>
    <row r="590">
      <c r="B590" s="6"/>
      <c r="D590" s="15"/>
      <c r="E590" s="15"/>
    </row>
    <row r="591">
      <c r="B591" s="6"/>
      <c r="D591" s="15"/>
      <c r="E591" s="15"/>
    </row>
    <row r="592">
      <c r="B592" s="6"/>
      <c r="D592" s="15"/>
      <c r="E592" s="15"/>
    </row>
    <row r="593">
      <c r="B593" s="6"/>
      <c r="D593" s="15"/>
      <c r="E593" s="15"/>
    </row>
    <row r="594">
      <c r="B594" s="6"/>
      <c r="D594" s="15"/>
      <c r="E594" s="15"/>
    </row>
    <row r="595">
      <c r="B595" s="6"/>
      <c r="D595" s="15"/>
      <c r="E595" s="15"/>
    </row>
    <row r="596">
      <c r="B596" s="6"/>
      <c r="D596" s="15"/>
      <c r="E596" s="15"/>
    </row>
    <row r="597">
      <c r="B597" s="6"/>
      <c r="D597" s="15"/>
      <c r="E597" s="15"/>
    </row>
    <row r="598">
      <c r="B598" s="6"/>
      <c r="D598" s="15"/>
      <c r="E598" s="15"/>
    </row>
    <row r="599">
      <c r="B599" s="6"/>
      <c r="D599" s="15"/>
      <c r="E599" s="15"/>
    </row>
    <row r="600">
      <c r="B600" s="6"/>
      <c r="D600" s="15"/>
      <c r="E600" s="15"/>
    </row>
    <row r="601">
      <c r="B601" s="6"/>
      <c r="D601" s="15"/>
      <c r="E601" s="15"/>
    </row>
    <row r="602">
      <c r="B602" s="6"/>
      <c r="D602" s="15"/>
      <c r="E602" s="15"/>
    </row>
    <row r="603">
      <c r="B603" s="6"/>
      <c r="D603" s="15"/>
      <c r="E603" s="15"/>
    </row>
    <row r="604">
      <c r="B604" s="6"/>
      <c r="D604" s="15"/>
      <c r="E604" s="15"/>
    </row>
    <row r="605">
      <c r="B605" s="6"/>
      <c r="D605" s="15"/>
      <c r="E605" s="15"/>
    </row>
    <row r="606">
      <c r="B606" s="6"/>
      <c r="D606" s="15"/>
      <c r="E606" s="15"/>
    </row>
    <row r="607">
      <c r="B607" s="6"/>
      <c r="D607" s="15"/>
      <c r="E607" s="15"/>
    </row>
    <row r="608">
      <c r="B608" s="6"/>
      <c r="D608" s="15"/>
      <c r="E608" s="15"/>
    </row>
    <row r="609">
      <c r="B609" s="6"/>
      <c r="D609" s="15"/>
      <c r="E609" s="15"/>
    </row>
    <row r="610">
      <c r="B610" s="6"/>
      <c r="D610" s="15"/>
      <c r="E610" s="15"/>
    </row>
    <row r="611">
      <c r="B611" s="6"/>
      <c r="D611" s="15"/>
      <c r="E611" s="15"/>
    </row>
    <row r="612">
      <c r="B612" s="6"/>
      <c r="D612" s="15"/>
      <c r="E612" s="15"/>
    </row>
    <row r="613">
      <c r="B613" s="6"/>
      <c r="D613" s="15"/>
      <c r="E613" s="15"/>
    </row>
    <row r="614">
      <c r="B614" s="6"/>
      <c r="D614" s="15"/>
      <c r="E614" s="15"/>
    </row>
    <row r="615">
      <c r="B615" s="6"/>
      <c r="D615" s="15"/>
      <c r="E615" s="15"/>
    </row>
    <row r="616">
      <c r="B616" s="6"/>
      <c r="D616" s="15"/>
      <c r="E616" s="15"/>
    </row>
    <row r="617">
      <c r="B617" s="6"/>
      <c r="D617" s="15"/>
      <c r="E617" s="15"/>
    </row>
    <row r="618">
      <c r="B618" s="6"/>
      <c r="D618" s="15"/>
      <c r="E618" s="15"/>
    </row>
    <row r="619">
      <c r="B619" s="6"/>
      <c r="D619" s="15"/>
      <c r="E619" s="15"/>
    </row>
    <row r="620">
      <c r="B620" s="6"/>
      <c r="D620" s="15"/>
      <c r="E620" s="15"/>
    </row>
    <row r="621">
      <c r="B621" s="6"/>
      <c r="D621" s="15"/>
      <c r="E621" s="15"/>
    </row>
    <row r="622">
      <c r="B622" s="6"/>
      <c r="D622" s="15"/>
      <c r="E622" s="15"/>
    </row>
    <row r="623">
      <c r="B623" s="6"/>
      <c r="D623" s="15"/>
      <c r="E623" s="15"/>
    </row>
    <row r="624">
      <c r="B624" s="6"/>
      <c r="D624" s="15"/>
      <c r="E624" s="15"/>
    </row>
    <row r="625">
      <c r="B625" s="6"/>
      <c r="D625" s="15"/>
      <c r="E625" s="15"/>
    </row>
    <row r="626">
      <c r="B626" s="6"/>
      <c r="D626" s="15"/>
      <c r="E626" s="15"/>
    </row>
    <row r="627">
      <c r="B627" s="6"/>
      <c r="D627" s="15"/>
      <c r="E627" s="15"/>
    </row>
    <row r="628">
      <c r="B628" s="6"/>
      <c r="D628" s="15"/>
      <c r="E628" s="15"/>
    </row>
    <row r="629">
      <c r="B629" s="6"/>
      <c r="D629" s="15"/>
      <c r="E629" s="15"/>
    </row>
    <row r="630">
      <c r="B630" s="6"/>
      <c r="D630" s="15"/>
      <c r="E630" s="15"/>
    </row>
    <row r="631">
      <c r="B631" s="6"/>
      <c r="D631" s="15"/>
      <c r="E631" s="15"/>
    </row>
    <row r="632">
      <c r="B632" s="6"/>
      <c r="D632" s="15"/>
      <c r="E632" s="15"/>
    </row>
    <row r="633">
      <c r="B633" s="6"/>
      <c r="D633" s="15"/>
      <c r="E633" s="15"/>
    </row>
    <row r="634">
      <c r="B634" s="6"/>
      <c r="D634" s="15"/>
      <c r="E634" s="15"/>
    </row>
    <row r="635">
      <c r="B635" s="6"/>
      <c r="D635" s="15"/>
      <c r="E635" s="15"/>
    </row>
    <row r="636">
      <c r="B636" s="6"/>
      <c r="D636" s="15"/>
      <c r="E636" s="15"/>
    </row>
    <row r="637">
      <c r="B637" s="6"/>
      <c r="D637" s="15"/>
      <c r="E637" s="15"/>
    </row>
    <row r="638">
      <c r="B638" s="6"/>
      <c r="D638" s="15"/>
      <c r="E638" s="15"/>
    </row>
    <row r="639">
      <c r="B639" s="6"/>
      <c r="D639" s="15"/>
      <c r="E639" s="15"/>
    </row>
    <row r="640">
      <c r="B640" s="6"/>
      <c r="D640" s="15"/>
      <c r="E640" s="15"/>
    </row>
    <row r="641">
      <c r="B641" s="6"/>
      <c r="D641" s="15"/>
      <c r="E641" s="15"/>
    </row>
    <row r="642">
      <c r="B642" s="6"/>
      <c r="D642" s="15"/>
      <c r="E642" s="15"/>
    </row>
    <row r="643">
      <c r="B643" s="6"/>
      <c r="D643" s="15"/>
      <c r="E643" s="15"/>
    </row>
    <row r="644">
      <c r="B644" s="6"/>
      <c r="D644" s="15"/>
      <c r="E644" s="15"/>
    </row>
    <row r="645">
      <c r="B645" s="6"/>
      <c r="D645" s="15"/>
      <c r="E645" s="15"/>
    </row>
    <row r="646">
      <c r="B646" s="6"/>
      <c r="D646" s="15"/>
      <c r="E646" s="15"/>
    </row>
    <row r="647">
      <c r="B647" s="6"/>
      <c r="D647" s="15"/>
      <c r="E647" s="15"/>
    </row>
    <row r="648">
      <c r="B648" s="6"/>
      <c r="D648" s="15"/>
      <c r="E648" s="15"/>
    </row>
    <row r="649">
      <c r="B649" s="6"/>
      <c r="D649" s="15"/>
      <c r="E649" s="15"/>
    </row>
    <row r="650">
      <c r="B650" s="6"/>
      <c r="D650" s="15"/>
      <c r="E650" s="15"/>
    </row>
    <row r="651">
      <c r="B651" s="6"/>
      <c r="D651" s="15"/>
      <c r="E651" s="15"/>
    </row>
    <row r="652">
      <c r="B652" s="6"/>
      <c r="D652" s="15"/>
      <c r="E652" s="15"/>
    </row>
    <row r="653">
      <c r="B653" s="6"/>
      <c r="D653" s="15"/>
      <c r="E653" s="15"/>
    </row>
    <row r="654">
      <c r="B654" s="6"/>
      <c r="D654" s="15"/>
      <c r="E654" s="15"/>
    </row>
    <row r="655">
      <c r="B655" s="6"/>
      <c r="D655" s="15"/>
      <c r="E655" s="15"/>
    </row>
    <row r="656">
      <c r="B656" s="6"/>
      <c r="D656" s="15"/>
      <c r="E656" s="15"/>
    </row>
    <row r="657">
      <c r="B657" s="6"/>
      <c r="D657" s="15"/>
      <c r="E657" s="15"/>
    </row>
    <row r="658">
      <c r="B658" s="6"/>
      <c r="D658" s="15"/>
      <c r="E658" s="15"/>
    </row>
    <row r="659">
      <c r="B659" s="6"/>
      <c r="D659" s="15"/>
      <c r="E659" s="15"/>
    </row>
    <row r="660">
      <c r="B660" s="6"/>
      <c r="D660" s="15"/>
      <c r="E660" s="15"/>
    </row>
    <row r="661">
      <c r="B661" s="6"/>
      <c r="D661" s="15"/>
      <c r="E661" s="15"/>
    </row>
    <row r="662">
      <c r="B662" s="6"/>
      <c r="D662" s="15"/>
      <c r="E662" s="15"/>
    </row>
    <row r="663">
      <c r="B663" s="6"/>
      <c r="D663" s="15"/>
      <c r="E663" s="15"/>
    </row>
    <row r="664">
      <c r="B664" s="6"/>
      <c r="D664" s="15"/>
      <c r="E664" s="15"/>
    </row>
    <row r="665">
      <c r="B665" s="6"/>
      <c r="D665" s="15"/>
      <c r="E665" s="15"/>
    </row>
    <row r="666">
      <c r="B666" s="6"/>
      <c r="D666" s="15"/>
      <c r="E666" s="15"/>
    </row>
    <row r="667">
      <c r="B667" s="6"/>
      <c r="D667" s="15"/>
      <c r="E667" s="15"/>
    </row>
    <row r="668">
      <c r="B668" s="6"/>
      <c r="D668" s="15"/>
      <c r="E668" s="15"/>
    </row>
    <row r="669">
      <c r="B669" s="6"/>
      <c r="D669" s="15"/>
      <c r="E669" s="15"/>
    </row>
    <row r="670">
      <c r="B670" s="6"/>
      <c r="D670" s="15"/>
      <c r="E670" s="15"/>
    </row>
    <row r="671">
      <c r="B671" s="6"/>
      <c r="D671" s="15"/>
      <c r="E671" s="15"/>
    </row>
    <row r="672">
      <c r="B672" s="6"/>
      <c r="D672" s="15"/>
      <c r="E672" s="15"/>
    </row>
    <row r="673">
      <c r="B673" s="6"/>
      <c r="D673" s="15"/>
      <c r="E673" s="15"/>
    </row>
    <row r="674">
      <c r="B674" s="6"/>
      <c r="D674" s="15"/>
      <c r="E674" s="15"/>
    </row>
    <row r="675">
      <c r="B675" s="6"/>
      <c r="D675" s="15"/>
      <c r="E675" s="15"/>
    </row>
    <row r="676">
      <c r="B676" s="6"/>
      <c r="D676" s="15"/>
      <c r="E676" s="15"/>
    </row>
    <row r="677">
      <c r="B677" s="6"/>
      <c r="D677" s="15"/>
      <c r="E677" s="15"/>
    </row>
    <row r="678">
      <c r="B678" s="6"/>
      <c r="D678" s="15"/>
      <c r="E678" s="15"/>
    </row>
    <row r="679">
      <c r="B679" s="6"/>
      <c r="D679" s="15"/>
      <c r="E679" s="15"/>
    </row>
    <row r="680">
      <c r="B680" s="6"/>
      <c r="D680" s="15"/>
      <c r="E680" s="15"/>
    </row>
    <row r="681">
      <c r="B681" s="6"/>
      <c r="D681" s="15"/>
      <c r="E681" s="15"/>
    </row>
    <row r="682">
      <c r="B682" s="6"/>
      <c r="D682" s="15"/>
      <c r="E682" s="15"/>
    </row>
    <row r="683">
      <c r="B683" s="6"/>
      <c r="D683" s="15"/>
      <c r="E683" s="15"/>
    </row>
    <row r="684">
      <c r="B684" s="6"/>
      <c r="D684" s="15"/>
      <c r="E684" s="15"/>
    </row>
    <row r="685">
      <c r="B685" s="6"/>
      <c r="D685" s="15"/>
      <c r="E685" s="15"/>
    </row>
    <row r="686">
      <c r="B686" s="6"/>
      <c r="D686" s="15"/>
      <c r="E686" s="15"/>
    </row>
    <row r="687">
      <c r="B687" s="6"/>
      <c r="D687" s="15"/>
      <c r="E687" s="15"/>
    </row>
    <row r="688">
      <c r="B688" s="6"/>
      <c r="D688" s="15"/>
      <c r="E688" s="15"/>
    </row>
    <row r="689">
      <c r="B689" s="6"/>
      <c r="D689" s="15"/>
      <c r="E689" s="15"/>
    </row>
    <row r="690">
      <c r="B690" s="6"/>
      <c r="D690" s="15"/>
      <c r="E690" s="15"/>
    </row>
    <row r="691">
      <c r="B691" s="6"/>
      <c r="D691" s="15"/>
      <c r="E691" s="15"/>
    </row>
    <row r="692">
      <c r="B692" s="6"/>
      <c r="D692" s="15"/>
      <c r="E692" s="15"/>
    </row>
    <row r="693">
      <c r="B693" s="6"/>
      <c r="D693" s="15"/>
      <c r="E693" s="15"/>
    </row>
    <row r="694">
      <c r="B694" s="6"/>
      <c r="D694" s="15"/>
      <c r="E694" s="15"/>
    </row>
    <row r="695">
      <c r="B695" s="6"/>
      <c r="D695" s="15"/>
      <c r="E695" s="15"/>
    </row>
    <row r="696">
      <c r="B696" s="6"/>
      <c r="D696" s="15"/>
      <c r="E696" s="15"/>
    </row>
    <row r="697">
      <c r="B697" s="6"/>
      <c r="D697" s="15"/>
      <c r="E697" s="15"/>
    </row>
    <row r="698">
      <c r="B698" s="6"/>
      <c r="D698" s="15"/>
      <c r="E698" s="15"/>
    </row>
    <row r="699">
      <c r="B699" s="6"/>
      <c r="D699" s="15"/>
      <c r="E699" s="15"/>
    </row>
    <row r="700">
      <c r="B700" s="6"/>
      <c r="D700" s="15"/>
      <c r="E700" s="15"/>
    </row>
    <row r="701">
      <c r="B701" s="6"/>
      <c r="D701" s="15"/>
      <c r="E701" s="15"/>
    </row>
    <row r="702">
      <c r="B702" s="6"/>
      <c r="D702" s="15"/>
      <c r="E702" s="15"/>
    </row>
    <row r="703">
      <c r="B703" s="6"/>
      <c r="D703" s="15"/>
      <c r="E703" s="15"/>
    </row>
    <row r="704">
      <c r="B704" s="6"/>
      <c r="D704" s="15"/>
      <c r="E704" s="15"/>
    </row>
    <row r="705">
      <c r="B705" s="6"/>
      <c r="D705" s="15"/>
      <c r="E705" s="15"/>
    </row>
    <row r="706">
      <c r="B706" s="6"/>
      <c r="D706" s="15"/>
      <c r="E706" s="15"/>
    </row>
    <row r="707">
      <c r="B707" s="6"/>
      <c r="D707" s="15"/>
      <c r="E707" s="15"/>
    </row>
    <row r="708">
      <c r="B708" s="6"/>
      <c r="D708" s="15"/>
      <c r="E708" s="15"/>
    </row>
    <row r="709">
      <c r="B709" s="6"/>
      <c r="D709" s="15"/>
      <c r="E709" s="15"/>
    </row>
    <row r="710">
      <c r="B710" s="6"/>
      <c r="D710" s="15"/>
      <c r="E710" s="15"/>
    </row>
    <row r="711">
      <c r="B711" s="6"/>
      <c r="D711" s="15"/>
      <c r="E711" s="15"/>
    </row>
    <row r="712">
      <c r="B712" s="6"/>
      <c r="D712" s="15"/>
      <c r="E712" s="15"/>
    </row>
    <row r="713">
      <c r="B713" s="6"/>
      <c r="D713" s="15"/>
      <c r="E713" s="15"/>
    </row>
    <row r="714">
      <c r="B714" s="6"/>
      <c r="D714" s="15"/>
      <c r="E714" s="15"/>
    </row>
    <row r="715">
      <c r="B715" s="6"/>
      <c r="D715" s="15"/>
      <c r="E715" s="15"/>
    </row>
    <row r="716">
      <c r="B716" s="6"/>
      <c r="D716" s="15"/>
      <c r="E716" s="15"/>
    </row>
    <row r="717">
      <c r="B717" s="6"/>
      <c r="D717" s="15"/>
      <c r="E717" s="15"/>
    </row>
    <row r="718">
      <c r="B718" s="6"/>
      <c r="D718" s="15"/>
      <c r="E718" s="15"/>
    </row>
    <row r="719">
      <c r="B719" s="6"/>
      <c r="D719" s="15"/>
      <c r="E719" s="15"/>
    </row>
    <row r="720">
      <c r="B720" s="6"/>
      <c r="D720" s="15"/>
      <c r="E720" s="15"/>
    </row>
    <row r="721">
      <c r="B721" s="6"/>
      <c r="D721" s="15"/>
      <c r="E721" s="15"/>
    </row>
    <row r="722">
      <c r="B722" s="6"/>
      <c r="D722" s="15"/>
      <c r="E722" s="15"/>
    </row>
    <row r="723">
      <c r="B723" s="6"/>
      <c r="D723" s="15"/>
      <c r="E723" s="15"/>
    </row>
    <row r="724">
      <c r="B724" s="6"/>
      <c r="D724" s="15"/>
      <c r="E724" s="15"/>
    </row>
    <row r="725">
      <c r="B725" s="6"/>
      <c r="D725" s="15"/>
      <c r="E725" s="15"/>
    </row>
    <row r="726">
      <c r="B726" s="6"/>
      <c r="D726" s="15"/>
      <c r="E726" s="15"/>
    </row>
    <row r="727">
      <c r="B727" s="6"/>
      <c r="D727" s="15"/>
      <c r="E727" s="15"/>
    </row>
    <row r="728">
      <c r="B728" s="6"/>
      <c r="D728" s="15"/>
      <c r="E728" s="15"/>
    </row>
    <row r="729">
      <c r="B729" s="6"/>
      <c r="D729" s="15"/>
      <c r="E729" s="15"/>
    </row>
    <row r="730">
      <c r="B730" s="6"/>
      <c r="D730" s="15"/>
      <c r="E730" s="15"/>
    </row>
    <row r="731">
      <c r="B731" s="6"/>
      <c r="D731" s="15"/>
      <c r="E731" s="15"/>
    </row>
    <row r="732">
      <c r="B732" s="6"/>
      <c r="D732" s="15"/>
      <c r="E732" s="15"/>
    </row>
    <row r="733">
      <c r="B733" s="6"/>
      <c r="D733" s="15"/>
      <c r="E733" s="15"/>
    </row>
    <row r="734">
      <c r="B734" s="6"/>
      <c r="D734" s="15"/>
      <c r="E734" s="15"/>
    </row>
    <row r="735">
      <c r="B735" s="6"/>
      <c r="D735" s="15"/>
      <c r="E735" s="15"/>
    </row>
    <row r="736">
      <c r="B736" s="6"/>
      <c r="D736" s="15"/>
      <c r="E736" s="15"/>
    </row>
    <row r="737">
      <c r="B737" s="6"/>
      <c r="D737" s="15"/>
      <c r="E737" s="15"/>
    </row>
    <row r="738">
      <c r="B738" s="6"/>
      <c r="D738" s="15"/>
      <c r="E738" s="15"/>
    </row>
    <row r="739">
      <c r="B739" s="6"/>
      <c r="D739" s="15"/>
      <c r="E739" s="15"/>
    </row>
    <row r="740">
      <c r="B740" s="6"/>
      <c r="D740" s="15"/>
      <c r="E740" s="15"/>
    </row>
    <row r="741">
      <c r="B741" s="6"/>
      <c r="D741" s="15"/>
      <c r="E741" s="15"/>
    </row>
    <row r="742">
      <c r="B742" s="6"/>
      <c r="D742" s="15"/>
      <c r="E742" s="15"/>
    </row>
    <row r="743">
      <c r="B743" s="6"/>
      <c r="D743" s="15"/>
      <c r="E743" s="15"/>
    </row>
    <row r="744">
      <c r="B744" s="6"/>
      <c r="D744" s="15"/>
      <c r="E744" s="15"/>
    </row>
    <row r="745">
      <c r="B745" s="6"/>
      <c r="D745" s="15"/>
      <c r="E745" s="15"/>
    </row>
    <row r="746">
      <c r="B746" s="6"/>
      <c r="D746" s="15"/>
      <c r="E746" s="15"/>
    </row>
    <row r="747">
      <c r="B747" s="6"/>
      <c r="D747" s="15"/>
      <c r="E747" s="15"/>
    </row>
    <row r="748">
      <c r="B748" s="6"/>
      <c r="D748" s="15"/>
      <c r="E748" s="15"/>
    </row>
    <row r="749">
      <c r="B749" s="6"/>
      <c r="D749" s="15"/>
      <c r="E749" s="15"/>
    </row>
    <row r="750">
      <c r="B750" s="6"/>
      <c r="D750" s="15"/>
      <c r="E750" s="15"/>
    </row>
    <row r="751">
      <c r="B751" s="6"/>
      <c r="D751" s="15"/>
      <c r="E751" s="15"/>
    </row>
    <row r="752">
      <c r="B752" s="6"/>
      <c r="D752" s="15"/>
      <c r="E752" s="15"/>
    </row>
    <row r="753">
      <c r="B753" s="6"/>
      <c r="D753" s="15"/>
      <c r="E753" s="15"/>
    </row>
    <row r="754">
      <c r="B754" s="6"/>
      <c r="D754" s="15"/>
      <c r="E754" s="15"/>
    </row>
    <row r="755">
      <c r="B755" s="6"/>
      <c r="D755" s="15"/>
      <c r="E755" s="15"/>
    </row>
    <row r="756">
      <c r="B756" s="6"/>
      <c r="D756" s="15"/>
      <c r="E756" s="15"/>
    </row>
    <row r="757">
      <c r="B757" s="6"/>
      <c r="D757" s="15"/>
      <c r="E757" s="15"/>
    </row>
    <row r="758">
      <c r="B758" s="6"/>
      <c r="D758" s="15"/>
      <c r="E758" s="15"/>
    </row>
    <row r="759">
      <c r="B759" s="6"/>
      <c r="D759" s="15"/>
      <c r="E759" s="15"/>
    </row>
    <row r="760">
      <c r="B760" s="6"/>
      <c r="D760" s="15"/>
      <c r="E760" s="15"/>
    </row>
    <row r="761">
      <c r="B761" s="6"/>
      <c r="D761" s="15"/>
      <c r="E761" s="15"/>
    </row>
    <row r="762">
      <c r="B762" s="6"/>
      <c r="D762" s="15"/>
      <c r="E762" s="15"/>
    </row>
    <row r="763">
      <c r="B763" s="6"/>
      <c r="D763" s="15"/>
      <c r="E763" s="15"/>
    </row>
    <row r="764">
      <c r="B764" s="6"/>
      <c r="D764" s="15"/>
      <c r="E764" s="15"/>
    </row>
    <row r="765">
      <c r="B765" s="6"/>
      <c r="D765" s="15"/>
      <c r="E765" s="15"/>
    </row>
    <row r="766">
      <c r="B766" s="6"/>
      <c r="D766" s="15"/>
      <c r="E766" s="15"/>
    </row>
    <row r="767">
      <c r="B767" s="6"/>
      <c r="D767" s="15"/>
      <c r="E767" s="15"/>
    </row>
    <row r="768">
      <c r="B768" s="6"/>
      <c r="D768" s="15"/>
      <c r="E768" s="15"/>
    </row>
    <row r="769">
      <c r="B769" s="6"/>
      <c r="D769" s="15"/>
      <c r="E769" s="15"/>
    </row>
    <row r="770">
      <c r="B770" s="6"/>
      <c r="D770" s="15"/>
      <c r="E770" s="15"/>
    </row>
    <row r="771">
      <c r="B771" s="6"/>
      <c r="D771" s="15"/>
      <c r="E771" s="15"/>
    </row>
    <row r="772">
      <c r="B772" s="6"/>
      <c r="D772" s="15"/>
      <c r="E772" s="15"/>
    </row>
    <row r="773">
      <c r="B773" s="6"/>
      <c r="D773" s="15"/>
      <c r="E773" s="15"/>
    </row>
    <row r="774">
      <c r="B774" s="6"/>
      <c r="D774" s="15"/>
      <c r="E774" s="15"/>
    </row>
    <row r="775">
      <c r="B775" s="6"/>
      <c r="D775" s="15"/>
      <c r="E775" s="15"/>
    </row>
    <row r="776">
      <c r="B776" s="6"/>
      <c r="D776" s="15"/>
      <c r="E776" s="15"/>
    </row>
    <row r="777">
      <c r="B777" s="6"/>
      <c r="D777" s="15"/>
      <c r="E777" s="15"/>
    </row>
    <row r="778">
      <c r="B778" s="6"/>
      <c r="D778" s="15"/>
      <c r="E778" s="15"/>
    </row>
    <row r="779">
      <c r="B779" s="6"/>
      <c r="D779" s="15"/>
      <c r="E779" s="15"/>
    </row>
    <row r="780">
      <c r="B780" s="6"/>
      <c r="D780" s="15"/>
      <c r="E780" s="15"/>
    </row>
    <row r="781">
      <c r="B781" s="6"/>
      <c r="D781" s="15"/>
      <c r="E781" s="15"/>
    </row>
    <row r="782">
      <c r="B782" s="6"/>
      <c r="D782" s="15"/>
      <c r="E782" s="15"/>
    </row>
    <row r="783">
      <c r="B783" s="6"/>
      <c r="D783" s="15"/>
      <c r="E783" s="15"/>
    </row>
    <row r="784">
      <c r="B784" s="6"/>
      <c r="D784" s="15"/>
      <c r="E784" s="15"/>
    </row>
    <row r="785">
      <c r="B785" s="6"/>
      <c r="D785" s="15"/>
      <c r="E785" s="15"/>
    </row>
    <row r="786">
      <c r="B786" s="6"/>
      <c r="D786" s="15"/>
      <c r="E786" s="15"/>
    </row>
    <row r="787">
      <c r="B787" s="6"/>
      <c r="D787" s="15"/>
      <c r="E787" s="15"/>
    </row>
    <row r="788">
      <c r="B788" s="6"/>
      <c r="D788" s="15"/>
      <c r="E788" s="15"/>
    </row>
    <row r="789">
      <c r="B789" s="6"/>
      <c r="D789" s="15"/>
      <c r="E789" s="15"/>
    </row>
    <row r="790">
      <c r="B790" s="6"/>
      <c r="D790" s="15"/>
      <c r="E790" s="15"/>
    </row>
    <row r="791">
      <c r="B791" s="6"/>
      <c r="D791" s="15"/>
      <c r="E791" s="15"/>
    </row>
    <row r="792">
      <c r="B792" s="6"/>
      <c r="D792" s="15"/>
      <c r="E792" s="15"/>
    </row>
    <row r="793">
      <c r="B793" s="6"/>
      <c r="D793" s="15"/>
      <c r="E793" s="15"/>
    </row>
    <row r="794">
      <c r="B794" s="6"/>
      <c r="D794" s="15"/>
      <c r="E794" s="15"/>
    </row>
    <row r="795">
      <c r="B795" s="6"/>
      <c r="D795" s="15"/>
      <c r="E795" s="15"/>
    </row>
    <row r="796">
      <c r="B796" s="6"/>
      <c r="D796" s="15"/>
      <c r="E796" s="15"/>
    </row>
    <row r="797">
      <c r="B797" s="6"/>
      <c r="D797" s="15"/>
      <c r="E797" s="15"/>
    </row>
    <row r="798">
      <c r="B798" s="6"/>
      <c r="D798" s="15"/>
      <c r="E798" s="15"/>
    </row>
    <row r="799">
      <c r="B799" s="6"/>
      <c r="D799" s="15"/>
      <c r="E799" s="15"/>
    </row>
    <row r="800">
      <c r="B800" s="6"/>
      <c r="D800" s="15"/>
      <c r="E800" s="15"/>
    </row>
    <row r="801">
      <c r="B801" s="6"/>
      <c r="D801" s="15"/>
      <c r="E801" s="15"/>
    </row>
    <row r="802">
      <c r="B802" s="6"/>
      <c r="D802" s="15"/>
      <c r="E802" s="15"/>
    </row>
    <row r="803">
      <c r="B803" s="6"/>
      <c r="D803" s="15"/>
      <c r="E803" s="15"/>
    </row>
    <row r="804">
      <c r="B804" s="6"/>
      <c r="D804" s="15"/>
      <c r="E804" s="15"/>
    </row>
    <row r="805">
      <c r="B805" s="6"/>
      <c r="D805" s="15"/>
      <c r="E805" s="15"/>
    </row>
    <row r="806">
      <c r="B806" s="6"/>
      <c r="D806" s="15"/>
      <c r="E806" s="15"/>
    </row>
    <row r="807">
      <c r="B807" s="6"/>
      <c r="D807" s="15"/>
      <c r="E807" s="15"/>
    </row>
    <row r="808">
      <c r="B808" s="6"/>
      <c r="D808" s="15"/>
      <c r="E808" s="15"/>
    </row>
    <row r="809">
      <c r="B809" s="6"/>
      <c r="D809" s="15"/>
      <c r="E809" s="15"/>
    </row>
    <row r="810">
      <c r="B810" s="6"/>
      <c r="D810" s="15"/>
      <c r="E810" s="15"/>
    </row>
    <row r="811">
      <c r="B811" s="6"/>
      <c r="D811" s="15"/>
      <c r="E811" s="15"/>
    </row>
    <row r="812">
      <c r="B812" s="6"/>
      <c r="D812" s="15"/>
      <c r="E812" s="15"/>
    </row>
    <row r="813">
      <c r="B813" s="6"/>
      <c r="D813" s="15"/>
      <c r="E813" s="15"/>
    </row>
    <row r="814">
      <c r="B814" s="6"/>
      <c r="D814" s="15"/>
      <c r="E814" s="15"/>
    </row>
    <row r="815">
      <c r="B815" s="6"/>
      <c r="D815" s="15"/>
      <c r="E815" s="15"/>
    </row>
    <row r="816">
      <c r="B816" s="6"/>
      <c r="D816" s="15"/>
      <c r="E816" s="15"/>
    </row>
    <row r="817">
      <c r="B817" s="6"/>
      <c r="D817" s="15"/>
      <c r="E817" s="15"/>
    </row>
    <row r="818">
      <c r="B818" s="6"/>
      <c r="D818" s="15"/>
      <c r="E818" s="15"/>
    </row>
    <row r="819">
      <c r="B819" s="6"/>
      <c r="D819" s="15"/>
      <c r="E819" s="15"/>
    </row>
    <row r="820">
      <c r="B820" s="6"/>
      <c r="D820" s="15"/>
      <c r="E820" s="15"/>
    </row>
    <row r="821">
      <c r="B821" s="6"/>
      <c r="D821" s="15"/>
      <c r="E821" s="15"/>
    </row>
    <row r="822">
      <c r="B822" s="6"/>
      <c r="D822" s="15"/>
      <c r="E822" s="15"/>
    </row>
    <row r="823">
      <c r="B823" s="6"/>
      <c r="D823" s="15"/>
      <c r="E823" s="15"/>
    </row>
    <row r="824">
      <c r="B824" s="6"/>
      <c r="D824" s="15"/>
      <c r="E824" s="15"/>
    </row>
    <row r="825">
      <c r="B825" s="6"/>
      <c r="D825" s="15"/>
      <c r="E825" s="15"/>
    </row>
    <row r="826">
      <c r="B826" s="6"/>
      <c r="D826" s="15"/>
      <c r="E826" s="15"/>
    </row>
    <row r="827">
      <c r="B827" s="6"/>
      <c r="D827" s="15"/>
      <c r="E827" s="15"/>
    </row>
    <row r="828">
      <c r="B828" s="6"/>
      <c r="D828" s="15"/>
      <c r="E828" s="15"/>
    </row>
    <row r="829">
      <c r="B829" s="6"/>
      <c r="D829" s="15"/>
      <c r="E829" s="15"/>
    </row>
    <row r="830">
      <c r="B830" s="6"/>
      <c r="D830" s="15"/>
      <c r="E830" s="15"/>
    </row>
    <row r="831">
      <c r="B831" s="6"/>
      <c r="D831" s="15"/>
      <c r="E831" s="15"/>
    </row>
    <row r="832">
      <c r="B832" s="6"/>
      <c r="D832" s="15"/>
      <c r="E832" s="15"/>
    </row>
    <row r="833">
      <c r="B833" s="6"/>
      <c r="D833" s="15"/>
      <c r="E833" s="15"/>
    </row>
    <row r="834">
      <c r="B834" s="6"/>
      <c r="D834" s="15"/>
      <c r="E834" s="15"/>
    </row>
    <row r="835">
      <c r="B835" s="6"/>
      <c r="D835" s="15"/>
      <c r="E835" s="15"/>
    </row>
    <row r="836">
      <c r="B836" s="6"/>
      <c r="D836" s="15"/>
      <c r="E836" s="15"/>
    </row>
    <row r="837">
      <c r="B837" s="6"/>
      <c r="D837" s="15"/>
      <c r="E837" s="15"/>
    </row>
    <row r="838">
      <c r="B838" s="6"/>
      <c r="D838" s="15"/>
      <c r="E838" s="15"/>
    </row>
    <row r="839">
      <c r="B839" s="6"/>
      <c r="D839" s="15"/>
      <c r="E839" s="15"/>
    </row>
    <row r="840">
      <c r="B840" s="6"/>
      <c r="D840" s="15"/>
      <c r="E840" s="15"/>
    </row>
    <row r="841">
      <c r="B841" s="6"/>
      <c r="D841" s="15"/>
      <c r="E841" s="15"/>
    </row>
    <row r="842">
      <c r="B842" s="6"/>
      <c r="D842" s="15"/>
      <c r="E842" s="15"/>
    </row>
    <row r="843">
      <c r="B843" s="6"/>
      <c r="D843" s="15"/>
      <c r="E843" s="15"/>
    </row>
    <row r="844">
      <c r="B844" s="6"/>
      <c r="D844" s="15"/>
      <c r="E844" s="15"/>
    </row>
    <row r="845">
      <c r="B845" s="6"/>
      <c r="D845" s="15"/>
      <c r="E845" s="15"/>
    </row>
    <row r="846">
      <c r="B846" s="6"/>
      <c r="D846" s="15"/>
      <c r="E846" s="15"/>
    </row>
    <row r="847">
      <c r="B847" s="6"/>
      <c r="D847" s="15"/>
      <c r="E847" s="15"/>
    </row>
    <row r="848">
      <c r="B848" s="6"/>
      <c r="D848" s="15"/>
      <c r="E848" s="15"/>
    </row>
    <row r="849">
      <c r="B849" s="6"/>
      <c r="D849" s="15"/>
      <c r="E849" s="15"/>
    </row>
    <row r="850">
      <c r="B850" s="6"/>
      <c r="D850" s="15"/>
      <c r="E850" s="15"/>
    </row>
    <row r="851">
      <c r="B851" s="6"/>
      <c r="D851" s="15"/>
      <c r="E851" s="15"/>
    </row>
    <row r="852">
      <c r="B852" s="6"/>
      <c r="D852" s="15"/>
      <c r="E852" s="15"/>
    </row>
    <row r="853">
      <c r="B853" s="6"/>
      <c r="D853" s="15"/>
      <c r="E853" s="15"/>
    </row>
    <row r="854">
      <c r="B854" s="6"/>
      <c r="D854" s="15"/>
      <c r="E854" s="15"/>
    </row>
    <row r="855">
      <c r="B855" s="6"/>
      <c r="D855" s="15"/>
      <c r="E855" s="15"/>
    </row>
    <row r="856">
      <c r="B856" s="6"/>
      <c r="D856" s="15"/>
      <c r="E856" s="15"/>
    </row>
    <row r="857">
      <c r="B857" s="6"/>
      <c r="D857" s="15"/>
      <c r="E857" s="15"/>
    </row>
    <row r="858">
      <c r="B858" s="6"/>
      <c r="D858" s="15"/>
      <c r="E858" s="15"/>
    </row>
    <row r="859">
      <c r="B859" s="6"/>
      <c r="D859" s="15"/>
      <c r="E859" s="15"/>
    </row>
    <row r="860">
      <c r="B860" s="6"/>
      <c r="D860" s="15"/>
      <c r="E860" s="15"/>
    </row>
    <row r="861">
      <c r="B861" s="6"/>
      <c r="D861" s="15"/>
      <c r="E861" s="15"/>
    </row>
    <row r="862">
      <c r="B862" s="6"/>
      <c r="D862" s="15"/>
      <c r="E862" s="15"/>
    </row>
    <row r="863">
      <c r="B863" s="6"/>
      <c r="D863" s="15"/>
      <c r="E863" s="15"/>
    </row>
    <row r="864">
      <c r="B864" s="6"/>
      <c r="D864" s="15"/>
      <c r="E864" s="15"/>
    </row>
    <row r="865">
      <c r="B865" s="6"/>
      <c r="D865" s="15"/>
      <c r="E865" s="15"/>
    </row>
    <row r="866">
      <c r="B866" s="6"/>
      <c r="D866" s="15"/>
      <c r="E866" s="15"/>
    </row>
    <row r="867">
      <c r="B867" s="6"/>
      <c r="D867" s="15"/>
      <c r="E867" s="15"/>
    </row>
    <row r="868">
      <c r="B868" s="6"/>
      <c r="D868" s="15"/>
      <c r="E868" s="15"/>
    </row>
    <row r="869">
      <c r="B869" s="6"/>
      <c r="D869" s="15"/>
      <c r="E869" s="15"/>
    </row>
    <row r="870">
      <c r="B870" s="6"/>
      <c r="D870" s="15"/>
      <c r="E870" s="15"/>
    </row>
    <row r="871">
      <c r="B871" s="6"/>
      <c r="D871" s="15"/>
      <c r="E871" s="15"/>
    </row>
    <row r="872">
      <c r="B872" s="6"/>
      <c r="D872" s="15"/>
      <c r="E872" s="15"/>
    </row>
    <row r="873">
      <c r="B873" s="6"/>
      <c r="D873" s="15"/>
      <c r="E873" s="15"/>
    </row>
    <row r="874">
      <c r="B874" s="6"/>
      <c r="D874" s="15"/>
      <c r="E874" s="15"/>
    </row>
    <row r="875">
      <c r="B875" s="6"/>
      <c r="D875" s="15"/>
      <c r="E875" s="15"/>
    </row>
    <row r="876">
      <c r="B876" s="6"/>
      <c r="D876" s="15"/>
      <c r="E876" s="15"/>
    </row>
    <row r="877">
      <c r="B877" s="6"/>
      <c r="D877" s="15"/>
      <c r="E877" s="15"/>
    </row>
    <row r="878">
      <c r="B878" s="6"/>
      <c r="D878" s="15"/>
      <c r="E878" s="15"/>
    </row>
    <row r="879">
      <c r="B879" s="6"/>
      <c r="D879" s="15"/>
      <c r="E879" s="15"/>
    </row>
    <row r="880">
      <c r="B880" s="6"/>
      <c r="D880" s="15"/>
      <c r="E880" s="15"/>
    </row>
    <row r="881">
      <c r="B881" s="6"/>
      <c r="D881" s="15"/>
      <c r="E881" s="15"/>
    </row>
    <row r="882">
      <c r="B882" s="6"/>
      <c r="D882" s="15"/>
      <c r="E882" s="15"/>
    </row>
    <row r="883">
      <c r="B883" s="6"/>
      <c r="D883" s="15"/>
      <c r="E883" s="15"/>
    </row>
    <row r="884">
      <c r="B884" s="6"/>
      <c r="D884" s="15"/>
      <c r="E884" s="15"/>
    </row>
    <row r="885">
      <c r="B885" s="6"/>
      <c r="D885" s="15"/>
      <c r="E885" s="15"/>
    </row>
    <row r="886">
      <c r="B886" s="6"/>
      <c r="D886" s="15"/>
      <c r="E886" s="15"/>
    </row>
    <row r="887">
      <c r="B887" s="6"/>
      <c r="D887" s="15"/>
      <c r="E887" s="15"/>
    </row>
    <row r="888">
      <c r="B888" s="6"/>
      <c r="D888" s="15"/>
      <c r="E888" s="15"/>
    </row>
    <row r="889">
      <c r="B889" s="6"/>
      <c r="D889" s="15"/>
      <c r="E889" s="15"/>
    </row>
    <row r="890">
      <c r="B890" s="6"/>
      <c r="D890" s="15"/>
      <c r="E890" s="15"/>
    </row>
    <row r="891">
      <c r="B891" s="6"/>
      <c r="D891" s="15"/>
      <c r="E891" s="15"/>
    </row>
    <row r="892">
      <c r="B892" s="6"/>
      <c r="D892" s="15"/>
      <c r="E892" s="15"/>
    </row>
    <row r="893">
      <c r="B893" s="6"/>
      <c r="D893" s="15"/>
      <c r="E893" s="15"/>
    </row>
    <row r="894">
      <c r="B894" s="6"/>
      <c r="D894" s="15"/>
      <c r="E894" s="15"/>
    </row>
    <row r="895">
      <c r="B895" s="6"/>
      <c r="D895" s="15"/>
      <c r="E895" s="15"/>
    </row>
    <row r="896">
      <c r="B896" s="6"/>
      <c r="D896" s="15"/>
      <c r="E896" s="15"/>
    </row>
    <row r="897">
      <c r="B897" s="6"/>
      <c r="D897" s="15"/>
      <c r="E897" s="15"/>
    </row>
    <row r="898">
      <c r="B898" s="6"/>
      <c r="D898" s="15"/>
      <c r="E898" s="15"/>
    </row>
    <row r="899">
      <c r="B899" s="6"/>
      <c r="D899" s="15"/>
      <c r="E899" s="15"/>
    </row>
    <row r="900">
      <c r="B900" s="6"/>
      <c r="D900" s="15"/>
      <c r="E900" s="15"/>
    </row>
    <row r="901">
      <c r="B901" s="6"/>
      <c r="D901" s="15"/>
      <c r="E901" s="15"/>
    </row>
    <row r="902">
      <c r="B902" s="6"/>
      <c r="D902" s="15"/>
      <c r="E902" s="15"/>
    </row>
    <row r="903">
      <c r="B903" s="6"/>
      <c r="D903" s="15"/>
      <c r="E903" s="15"/>
    </row>
    <row r="904">
      <c r="B904" s="6"/>
      <c r="D904" s="15"/>
      <c r="E904" s="15"/>
    </row>
    <row r="905">
      <c r="B905" s="6"/>
      <c r="D905" s="15"/>
      <c r="E905" s="15"/>
    </row>
    <row r="906">
      <c r="B906" s="6"/>
      <c r="D906" s="15"/>
      <c r="E906" s="15"/>
    </row>
    <row r="907">
      <c r="B907" s="6"/>
      <c r="D907" s="15"/>
      <c r="E907" s="15"/>
    </row>
    <row r="908">
      <c r="B908" s="6"/>
      <c r="D908" s="15"/>
      <c r="E908" s="15"/>
    </row>
    <row r="909">
      <c r="B909" s="6"/>
      <c r="D909" s="15"/>
      <c r="E909" s="15"/>
    </row>
    <row r="910">
      <c r="B910" s="6"/>
      <c r="D910" s="15"/>
      <c r="E910" s="15"/>
    </row>
    <row r="911">
      <c r="B911" s="6"/>
      <c r="D911" s="15"/>
      <c r="E911" s="15"/>
    </row>
    <row r="912">
      <c r="B912" s="6"/>
      <c r="D912" s="15"/>
      <c r="E912" s="15"/>
    </row>
    <row r="913">
      <c r="B913" s="6"/>
      <c r="D913" s="15"/>
      <c r="E913" s="15"/>
    </row>
    <row r="914">
      <c r="B914" s="6"/>
      <c r="D914" s="15"/>
      <c r="E914" s="15"/>
    </row>
    <row r="915">
      <c r="B915" s="6"/>
      <c r="D915" s="15"/>
      <c r="E915" s="15"/>
    </row>
    <row r="916">
      <c r="B916" s="6"/>
      <c r="D916" s="15"/>
      <c r="E916" s="15"/>
    </row>
    <row r="917">
      <c r="B917" s="6"/>
      <c r="D917" s="15"/>
      <c r="E917" s="15"/>
    </row>
    <row r="918">
      <c r="B918" s="6"/>
      <c r="D918" s="15"/>
      <c r="E918" s="15"/>
    </row>
    <row r="919">
      <c r="B919" s="6"/>
      <c r="D919" s="15"/>
      <c r="E919" s="15"/>
    </row>
    <row r="920">
      <c r="B920" s="6"/>
      <c r="D920" s="15"/>
      <c r="E920" s="15"/>
    </row>
    <row r="921">
      <c r="B921" s="6"/>
      <c r="D921" s="15"/>
      <c r="E921" s="15"/>
    </row>
    <row r="922">
      <c r="B922" s="6"/>
      <c r="D922" s="15"/>
      <c r="E922" s="15"/>
    </row>
    <row r="923">
      <c r="B923" s="6"/>
      <c r="D923" s="15"/>
      <c r="E923" s="15"/>
    </row>
    <row r="924">
      <c r="B924" s="6"/>
      <c r="D924" s="15"/>
      <c r="E924" s="15"/>
    </row>
    <row r="925">
      <c r="B925" s="6"/>
      <c r="D925" s="15"/>
      <c r="E925" s="15"/>
    </row>
    <row r="926">
      <c r="B926" s="6"/>
      <c r="D926" s="15"/>
      <c r="E926" s="15"/>
    </row>
    <row r="927">
      <c r="B927" s="6"/>
      <c r="D927" s="15"/>
      <c r="E927" s="15"/>
    </row>
    <row r="928">
      <c r="B928" s="6"/>
      <c r="D928" s="15"/>
      <c r="E928" s="15"/>
    </row>
    <row r="929">
      <c r="B929" s="6"/>
      <c r="D929" s="15"/>
      <c r="E929" s="15"/>
    </row>
    <row r="930">
      <c r="B930" s="6"/>
      <c r="D930" s="15"/>
      <c r="E930" s="15"/>
    </row>
    <row r="931">
      <c r="B931" s="6"/>
      <c r="D931" s="15"/>
      <c r="E931" s="15"/>
    </row>
    <row r="932">
      <c r="B932" s="6"/>
      <c r="D932" s="15"/>
      <c r="E932" s="15"/>
    </row>
    <row r="933">
      <c r="B933" s="6"/>
      <c r="D933" s="15"/>
      <c r="E933" s="15"/>
    </row>
    <row r="934">
      <c r="B934" s="6"/>
      <c r="D934" s="15"/>
      <c r="E934" s="15"/>
    </row>
    <row r="935">
      <c r="B935" s="6"/>
      <c r="D935" s="15"/>
      <c r="E935" s="15"/>
    </row>
    <row r="936">
      <c r="B936" s="6"/>
      <c r="D936" s="15"/>
      <c r="E936" s="15"/>
    </row>
    <row r="937">
      <c r="B937" s="6"/>
      <c r="D937" s="15"/>
      <c r="E937" s="15"/>
    </row>
    <row r="938">
      <c r="B938" s="6"/>
      <c r="D938" s="15"/>
      <c r="E938" s="15"/>
    </row>
    <row r="939">
      <c r="B939" s="6"/>
      <c r="D939" s="15"/>
      <c r="E939" s="15"/>
    </row>
    <row r="940">
      <c r="B940" s="6"/>
      <c r="D940" s="15"/>
      <c r="E940" s="15"/>
    </row>
    <row r="941">
      <c r="B941" s="6"/>
      <c r="D941" s="15"/>
      <c r="E941" s="15"/>
    </row>
    <row r="942">
      <c r="B942" s="6"/>
      <c r="D942" s="15"/>
      <c r="E942" s="15"/>
    </row>
    <row r="943">
      <c r="B943" s="6"/>
      <c r="D943" s="15"/>
      <c r="E943" s="15"/>
    </row>
    <row r="944">
      <c r="B944" s="6"/>
      <c r="D944" s="15"/>
      <c r="E944" s="15"/>
    </row>
    <row r="945">
      <c r="B945" s="6"/>
      <c r="D945" s="15"/>
      <c r="E945" s="15"/>
    </row>
    <row r="946">
      <c r="B946" s="6"/>
      <c r="D946" s="15"/>
      <c r="E946" s="15"/>
    </row>
    <row r="947">
      <c r="B947" s="6"/>
      <c r="D947" s="15"/>
      <c r="E947" s="15"/>
    </row>
    <row r="948">
      <c r="B948" s="6"/>
      <c r="D948" s="15"/>
      <c r="E948" s="15"/>
    </row>
    <row r="949">
      <c r="B949" s="6"/>
      <c r="D949" s="15"/>
      <c r="E949" s="15"/>
    </row>
    <row r="950">
      <c r="B950" s="6"/>
      <c r="D950" s="15"/>
      <c r="E950" s="15"/>
    </row>
    <row r="951">
      <c r="B951" s="6"/>
      <c r="D951" s="15"/>
      <c r="E951" s="15"/>
    </row>
    <row r="952">
      <c r="B952" s="6"/>
      <c r="D952" s="15"/>
      <c r="E952" s="15"/>
    </row>
    <row r="953">
      <c r="B953" s="6"/>
      <c r="D953" s="15"/>
      <c r="E953" s="15"/>
    </row>
    <row r="954">
      <c r="B954" s="6"/>
      <c r="D954" s="15"/>
      <c r="E954" s="15"/>
    </row>
    <row r="955">
      <c r="B955" s="6"/>
      <c r="D955" s="15"/>
      <c r="E955" s="15"/>
    </row>
    <row r="956">
      <c r="B956" s="6"/>
      <c r="D956" s="15"/>
      <c r="E956" s="15"/>
    </row>
    <row r="957">
      <c r="B957" s="6"/>
      <c r="D957" s="15"/>
      <c r="E957" s="15"/>
    </row>
    <row r="958">
      <c r="B958" s="6"/>
      <c r="D958" s="15"/>
      <c r="E958" s="15"/>
    </row>
    <row r="959">
      <c r="B959" s="6"/>
      <c r="D959" s="15"/>
      <c r="E959" s="15"/>
    </row>
    <row r="960">
      <c r="B960" s="6"/>
      <c r="D960" s="15"/>
      <c r="E960" s="15"/>
    </row>
    <row r="961">
      <c r="B961" s="6"/>
      <c r="D961" s="15"/>
      <c r="E961" s="15"/>
    </row>
    <row r="962">
      <c r="B962" s="6"/>
      <c r="D962" s="15"/>
      <c r="E962" s="15"/>
    </row>
    <row r="963">
      <c r="B963" s="6"/>
      <c r="D963" s="15"/>
      <c r="E963" s="15"/>
    </row>
    <row r="964">
      <c r="B964" s="6"/>
      <c r="D964" s="15"/>
      <c r="E964" s="15"/>
    </row>
    <row r="965">
      <c r="B965" s="6"/>
      <c r="D965" s="15"/>
      <c r="E965" s="15"/>
    </row>
    <row r="966">
      <c r="B966" s="6"/>
      <c r="D966" s="15"/>
      <c r="E966" s="15"/>
    </row>
    <row r="967">
      <c r="B967" s="6"/>
      <c r="D967" s="15"/>
      <c r="E967" s="15"/>
    </row>
    <row r="968">
      <c r="B968" s="6"/>
      <c r="D968" s="15"/>
      <c r="E968" s="15"/>
    </row>
    <row r="969">
      <c r="B969" s="6"/>
      <c r="D969" s="15"/>
      <c r="E969" s="15"/>
    </row>
    <row r="970">
      <c r="B970" s="6"/>
      <c r="D970" s="15"/>
      <c r="E970" s="15"/>
    </row>
    <row r="971">
      <c r="B971" s="6"/>
      <c r="D971" s="15"/>
      <c r="E971" s="15"/>
    </row>
    <row r="972">
      <c r="B972" s="6"/>
      <c r="D972" s="15"/>
      <c r="E972" s="15"/>
    </row>
    <row r="973">
      <c r="B973" s="6"/>
      <c r="D973" s="15"/>
      <c r="E973" s="15"/>
    </row>
    <row r="974">
      <c r="B974" s="6"/>
      <c r="D974" s="15"/>
      <c r="E974" s="15"/>
    </row>
    <row r="975">
      <c r="B975" s="6"/>
      <c r="D975" s="15"/>
      <c r="E975" s="15"/>
    </row>
    <row r="976">
      <c r="B976" s="6"/>
      <c r="D976" s="15"/>
      <c r="E976" s="15"/>
    </row>
    <row r="977">
      <c r="B977" s="6"/>
      <c r="D977" s="15"/>
      <c r="E977" s="15"/>
    </row>
    <row r="978">
      <c r="B978" s="6"/>
      <c r="D978" s="15"/>
      <c r="E978" s="15"/>
    </row>
    <row r="979">
      <c r="B979" s="6"/>
      <c r="D979" s="15"/>
      <c r="E979" s="15"/>
    </row>
    <row r="980">
      <c r="B980" s="6"/>
      <c r="D980" s="15"/>
      <c r="E980" s="15"/>
    </row>
    <row r="981">
      <c r="B981" s="6"/>
      <c r="D981" s="15"/>
      <c r="E981" s="15"/>
    </row>
    <row r="982">
      <c r="B982" s="6"/>
      <c r="D982" s="15"/>
      <c r="E982" s="15"/>
    </row>
    <row r="983">
      <c r="B983" s="6"/>
      <c r="D983" s="15"/>
      <c r="E983" s="15"/>
    </row>
    <row r="984">
      <c r="B984" s="6"/>
      <c r="D984" s="15"/>
      <c r="E984" s="15"/>
    </row>
    <row r="985">
      <c r="B985" s="6"/>
      <c r="D985" s="15"/>
      <c r="E985" s="15"/>
    </row>
    <row r="986">
      <c r="B986" s="6"/>
      <c r="D986" s="15"/>
      <c r="E986" s="15"/>
    </row>
    <row r="987">
      <c r="B987" s="6"/>
      <c r="D987" s="15"/>
      <c r="E987" s="15"/>
    </row>
    <row r="988">
      <c r="B988" s="6"/>
      <c r="D988" s="15"/>
      <c r="E988" s="15"/>
    </row>
    <row r="989">
      <c r="B989" s="6"/>
      <c r="D989" s="15"/>
      <c r="E989" s="15"/>
    </row>
    <row r="990">
      <c r="B990" s="6"/>
      <c r="D990" s="15"/>
      <c r="E990" s="15"/>
    </row>
    <row r="991">
      <c r="B991" s="6"/>
      <c r="D991" s="15"/>
      <c r="E991" s="15"/>
    </row>
    <row r="992">
      <c r="B992" s="6"/>
      <c r="D992" s="15"/>
      <c r="E992" s="15"/>
    </row>
    <row r="993">
      <c r="B993" s="6"/>
      <c r="D993" s="15"/>
      <c r="E993" s="15"/>
    </row>
    <row r="994">
      <c r="B994" s="6"/>
      <c r="D994" s="15"/>
      <c r="E994" s="15"/>
    </row>
    <row r="995">
      <c r="B995" s="6"/>
      <c r="D995" s="15"/>
      <c r="E995" s="15"/>
    </row>
    <row r="996">
      <c r="B996" s="6"/>
      <c r="D996" s="15"/>
      <c r="E996" s="15"/>
    </row>
    <row r="997">
      <c r="B997" s="6"/>
      <c r="D997" s="15"/>
      <c r="E997" s="15"/>
    </row>
    <row r="998">
      <c r="B998" s="6"/>
      <c r="D998" s="15"/>
      <c r="E998" s="15"/>
    </row>
    <row r="999">
      <c r="B999" s="6"/>
      <c r="D999" s="15"/>
      <c r="E999" s="15"/>
    </row>
    <row r="1000">
      <c r="B1000" s="6"/>
      <c r="D1000" s="15"/>
      <c r="E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D1" s="15">
        <f>IF(COUNTIF(D3:D5,"ERR")&gt;0,"ERR IN BOOK",SUM(D3:D12))</f>
        <v>0.9199247747</v>
      </c>
      <c r="E1" s="15"/>
    </row>
    <row r="2">
      <c r="A2" s="3" t="s">
        <v>33</v>
      </c>
      <c r="B2" s="3" t="s">
        <v>4</v>
      </c>
      <c r="C2" s="3" t="s">
        <v>34</v>
      </c>
      <c r="D2" s="22" t="s">
        <v>7</v>
      </c>
      <c r="E2" s="22"/>
    </row>
    <row r="3">
      <c r="A3" s="3" t="s">
        <v>35</v>
      </c>
      <c r="B3" s="24">
        <v>46027.0</v>
      </c>
      <c r="C3" s="36">
        <f t="shared" ref="C3:C12" si="1">IFERROR(IF(ISNUMBER(FIND("/",B3)),LEFT(B3,FIND("/",B3)-1)/MID(B3,FIND("/",B3)+1,9)+1,VALUE(B3)),"ERR")</f>
        <v>6</v>
      </c>
      <c r="D3" s="15">
        <f t="shared" ref="D3:D12" si="2">IFERROR(1/C3,"ERR")</f>
        <v>0.1666666667</v>
      </c>
      <c r="E3" s="15"/>
    </row>
    <row r="4">
      <c r="A4" s="3" t="s">
        <v>47</v>
      </c>
      <c r="B4" s="24">
        <v>46064.0</v>
      </c>
      <c r="C4" s="36">
        <f t="shared" si="1"/>
        <v>6.5</v>
      </c>
      <c r="D4" s="15">
        <f t="shared" si="2"/>
        <v>0.1538461538</v>
      </c>
      <c r="E4" s="15"/>
      <c r="G4" s="3" t="s">
        <v>49</v>
      </c>
    </row>
    <row r="5">
      <c r="A5" s="3" t="s">
        <v>50</v>
      </c>
      <c r="B5" s="24">
        <v>46066.0</v>
      </c>
      <c r="C5" s="36">
        <f t="shared" si="1"/>
        <v>7.5</v>
      </c>
      <c r="D5" s="15">
        <f t="shared" si="2"/>
        <v>0.1333333333</v>
      </c>
      <c r="E5" s="15"/>
    </row>
    <row r="6">
      <c r="A6" s="3" t="s">
        <v>51</v>
      </c>
      <c r="B6" s="24">
        <v>46032.0</v>
      </c>
      <c r="C6" s="36">
        <f t="shared" si="1"/>
        <v>11</v>
      </c>
      <c r="D6" s="15">
        <f t="shared" si="2"/>
        <v>0.09090909091</v>
      </c>
      <c r="E6" s="15"/>
    </row>
    <row r="7">
      <c r="A7" s="3" t="s">
        <v>58</v>
      </c>
      <c r="B7" s="24">
        <v>46030.0</v>
      </c>
      <c r="C7" s="36">
        <f t="shared" si="1"/>
        <v>9</v>
      </c>
      <c r="D7" s="15">
        <f t="shared" si="2"/>
        <v>0.1111111111</v>
      </c>
      <c r="E7" s="15"/>
    </row>
    <row r="8">
      <c r="A8" s="3" t="s">
        <v>59</v>
      </c>
      <c r="B8" s="24">
        <v>46034.0</v>
      </c>
      <c r="C8" s="36">
        <f t="shared" si="1"/>
        <v>13</v>
      </c>
      <c r="D8" s="15">
        <f t="shared" si="2"/>
        <v>0.07692307692</v>
      </c>
      <c r="E8" s="15"/>
    </row>
    <row r="9">
      <c r="A9" s="3" t="s">
        <v>61</v>
      </c>
      <c r="B9" s="24">
        <v>46036.0</v>
      </c>
      <c r="C9" s="36">
        <f t="shared" si="1"/>
        <v>15</v>
      </c>
      <c r="D9" s="15">
        <f t="shared" si="2"/>
        <v>0.06666666667</v>
      </c>
      <c r="E9" s="15"/>
    </row>
    <row r="10">
      <c r="A10" s="3" t="s">
        <v>62</v>
      </c>
      <c r="B10" s="3" t="s">
        <v>64</v>
      </c>
      <c r="C10" s="36">
        <f t="shared" si="1"/>
        <v>34</v>
      </c>
      <c r="D10" s="15">
        <f t="shared" si="2"/>
        <v>0.02941176471</v>
      </c>
      <c r="E10" s="15"/>
    </row>
    <row r="11">
      <c r="A11" s="3" t="s">
        <v>67</v>
      </c>
      <c r="B11" s="3" t="s">
        <v>68</v>
      </c>
      <c r="C11" s="36">
        <f t="shared" si="1"/>
        <v>41</v>
      </c>
      <c r="D11" s="15">
        <f t="shared" si="2"/>
        <v>0.0243902439</v>
      </c>
      <c r="E11" s="15"/>
    </row>
    <row r="12">
      <c r="A12" s="3" t="s">
        <v>70</v>
      </c>
      <c r="B12" s="24">
        <v>46036.0</v>
      </c>
      <c r="C12" s="36">
        <f t="shared" si="1"/>
        <v>15</v>
      </c>
      <c r="D12" s="15">
        <f t="shared" si="2"/>
        <v>0.06666666667</v>
      </c>
      <c r="E12" s="15"/>
    </row>
    <row r="13">
      <c r="D13" s="15"/>
      <c r="E13" s="15"/>
    </row>
    <row r="14">
      <c r="D14" s="15"/>
      <c r="E14" s="15"/>
    </row>
    <row r="15">
      <c r="D15" s="15"/>
      <c r="E15" s="15"/>
    </row>
    <row r="16">
      <c r="D16" s="15"/>
      <c r="E16" s="15"/>
    </row>
    <row r="17">
      <c r="D17" s="15"/>
      <c r="E17" s="15"/>
    </row>
    <row r="18">
      <c r="D18" s="15"/>
      <c r="E18" s="15"/>
    </row>
    <row r="19">
      <c r="D19" s="15"/>
      <c r="E19" s="15"/>
    </row>
    <row r="20">
      <c r="D20" s="15"/>
      <c r="E20" s="15"/>
    </row>
    <row r="21">
      <c r="D21" s="15"/>
      <c r="E21" s="15"/>
    </row>
    <row r="22">
      <c r="D22" s="15"/>
      <c r="E22" s="15"/>
    </row>
    <row r="23">
      <c r="D23" s="15"/>
      <c r="E23" s="15"/>
    </row>
    <row r="24">
      <c r="D24" s="15"/>
      <c r="E24" s="15"/>
    </row>
    <row r="25">
      <c r="D25" s="15"/>
      <c r="E25" s="15"/>
    </row>
    <row r="26">
      <c r="D26" s="15"/>
      <c r="E26" s="15"/>
    </row>
    <row r="27">
      <c r="D27" s="15"/>
      <c r="E27" s="15"/>
    </row>
    <row r="28">
      <c r="D28" s="15"/>
      <c r="E28" s="15"/>
    </row>
    <row r="29">
      <c r="D29" s="15"/>
      <c r="E29" s="15"/>
    </row>
    <row r="30">
      <c r="D30" s="15"/>
      <c r="E30" s="15"/>
    </row>
    <row r="31">
      <c r="D31" s="15"/>
      <c r="E31" s="15"/>
    </row>
    <row r="32">
      <c r="D32" s="15"/>
      <c r="E32" s="15"/>
    </row>
    <row r="33">
      <c r="D33" s="15"/>
      <c r="E33" s="15"/>
    </row>
    <row r="34">
      <c r="D34" s="15"/>
      <c r="E34" s="15"/>
    </row>
    <row r="35">
      <c r="D35" s="15"/>
      <c r="E35" s="15"/>
    </row>
    <row r="36">
      <c r="D36" s="15"/>
      <c r="E36" s="15"/>
    </row>
    <row r="37">
      <c r="D37" s="15"/>
      <c r="E37" s="15"/>
    </row>
    <row r="38">
      <c r="D38" s="15"/>
      <c r="E38" s="15"/>
    </row>
    <row r="39">
      <c r="D39" s="15"/>
      <c r="E39" s="15"/>
    </row>
    <row r="40">
      <c r="D40" s="15"/>
      <c r="E40" s="15"/>
    </row>
    <row r="41">
      <c r="D41" s="15"/>
      <c r="E41" s="15"/>
    </row>
    <row r="42">
      <c r="D42" s="15"/>
      <c r="E42" s="15"/>
    </row>
    <row r="43">
      <c r="D43" s="15"/>
      <c r="E43" s="15"/>
    </row>
    <row r="44">
      <c r="D44" s="15"/>
      <c r="E44" s="15"/>
    </row>
    <row r="45">
      <c r="D45" s="15"/>
      <c r="E45" s="15"/>
    </row>
    <row r="46">
      <c r="D46" s="15"/>
      <c r="E46" s="15"/>
    </row>
    <row r="47">
      <c r="D47" s="15"/>
      <c r="E47" s="15"/>
    </row>
    <row r="48">
      <c r="D48" s="15"/>
      <c r="E48" s="15"/>
    </row>
    <row r="49">
      <c r="D49" s="15"/>
      <c r="E49" s="15"/>
    </row>
    <row r="50">
      <c r="D50" s="15"/>
      <c r="E50" s="15"/>
    </row>
    <row r="51">
      <c r="D51" s="15"/>
      <c r="E51" s="15"/>
    </row>
    <row r="52">
      <c r="D52" s="15"/>
      <c r="E52" s="15"/>
    </row>
    <row r="53">
      <c r="D53" s="15"/>
      <c r="E53" s="15"/>
    </row>
    <row r="54">
      <c r="D54" s="15"/>
      <c r="E54" s="15"/>
    </row>
    <row r="55">
      <c r="D55" s="15"/>
      <c r="E55" s="15"/>
    </row>
    <row r="56">
      <c r="D56" s="15"/>
      <c r="E56" s="15"/>
    </row>
    <row r="57">
      <c r="D57" s="15"/>
      <c r="E57" s="15"/>
    </row>
    <row r="58">
      <c r="D58" s="15"/>
      <c r="E58" s="15"/>
    </row>
    <row r="59">
      <c r="D59" s="15"/>
      <c r="E59" s="15"/>
    </row>
    <row r="60">
      <c r="D60" s="15"/>
      <c r="E60" s="15"/>
    </row>
    <row r="61">
      <c r="D61" s="15"/>
      <c r="E61" s="15"/>
    </row>
    <row r="62">
      <c r="D62" s="15"/>
      <c r="E62" s="15"/>
    </row>
    <row r="63">
      <c r="D63" s="15"/>
      <c r="E63" s="15"/>
    </row>
    <row r="64">
      <c r="D64" s="15"/>
      <c r="E64" s="15"/>
    </row>
    <row r="65">
      <c r="D65" s="15"/>
      <c r="E65" s="15"/>
    </row>
    <row r="66">
      <c r="D66" s="15"/>
      <c r="E66" s="15"/>
    </row>
    <row r="67">
      <c r="D67" s="15"/>
      <c r="E67" s="15"/>
    </row>
    <row r="68">
      <c r="D68" s="15"/>
      <c r="E68" s="15"/>
    </row>
    <row r="69">
      <c r="D69" s="15"/>
      <c r="E69" s="15"/>
    </row>
    <row r="70">
      <c r="D70" s="15"/>
      <c r="E70" s="15"/>
    </row>
    <row r="71">
      <c r="D71" s="15"/>
      <c r="E71" s="15"/>
    </row>
    <row r="72">
      <c r="D72" s="15"/>
      <c r="E72" s="15"/>
    </row>
    <row r="73">
      <c r="D73" s="15"/>
      <c r="E73" s="15"/>
    </row>
    <row r="74">
      <c r="D74" s="15"/>
      <c r="E74" s="15"/>
    </row>
    <row r="75">
      <c r="D75" s="15"/>
      <c r="E75" s="15"/>
    </row>
    <row r="76">
      <c r="D76" s="15"/>
      <c r="E76" s="15"/>
    </row>
    <row r="77">
      <c r="D77" s="15"/>
      <c r="E77" s="15"/>
    </row>
    <row r="78">
      <c r="D78" s="15"/>
      <c r="E78" s="15"/>
    </row>
    <row r="79">
      <c r="D79" s="15"/>
      <c r="E79" s="15"/>
    </row>
    <row r="80">
      <c r="D80" s="15"/>
      <c r="E80" s="15"/>
    </row>
    <row r="81">
      <c r="D81" s="15"/>
      <c r="E81" s="15"/>
    </row>
    <row r="82">
      <c r="D82" s="15"/>
      <c r="E82" s="15"/>
    </row>
    <row r="83">
      <c r="D83" s="15"/>
      <c r="E83" s="15"/>
    </row>
    <row r="84">
      <c r="D84" s="15"/>
      <c r="E84" s="15"/>
    </row>
    <row r="85">
      <c r="D85" s="15"/>
      <c r="E85" s="15"/>
    </row>
    <row r="86">
      <c r="D86" s="15"/>
      <c r="E86" s="15"/>
    </row>
    <row r="87">
      <c r="D87" s="15"/>
      <c r="E87" s="15"/>
    </row>
    <row r="88">
      <c r="D88" s="15"/>
      <c r="E88" s="15"/>
    </row>
    <row r="89">
      <c r="D89" s="15"/>
      <c r="E89" s="15"/>
    </row>
    <row r="90">
      <c r="D90" s="15"/>
      <c r="E90" s="15"/>
    </row>
    <row r="91">
      <c r="D91" s="15"/>
      <c r="E91" s="15"/>
    </row>
    <row r="92">
      <c r="D92" s="15"/>
      <c r="E92" s="15"/>
    </row>
    <row r="93">
      <c r="D93" s="15"/>
      <c r="E93" s="15"/>
    </row>
    <row r="94">
      <c r="D94" s="15"/>
      <c r="E94" s="15"/>
    </row>
    <row r="95">
      <c r="D95" s="15"/>
      <c r="E95" s="15"/>
    </row>
    <row r="96">
      <c r="D96" s="15"/>
      <c r="E96" s="15"/>
    </row>
    <row r="97">
      <c r="D97" s="15"/>
      <c r="E97" s="15"/>
    </row>
    <row r="98">
      <c r="D98" s="15"/>
      <c r="E98" s="15"/>
    </row>
    <row r="99">
      <c r="D99" s="15"/>
      <c r="E99" s="15"/>
    </row>
    <row r="100">
      <c r="D100" s="15"/>
      <c r="E100" s="15"/>
    </row>
    <row r="101">
      <c r="D101" s="15"/>
      <c r="E101" s="15"/>
    </row>
    <row r="102">
      <c r="D102" s="15"/>
      <c r="E102" s="15"/>
    </row>
    <row r="103">
      <c r="D103" s="15"/>
      <c r="E103" s="15"/>
    </row>
    <row r="104">
      <c r="D104" s="15"/>
      <c r="E104" s="15"/>
    </row>
    <row r="105">
      <c r="D105" s="15"/>
      <c r="E105" s="15"/>
    </row>
    <row r="106">
      <c r="D106" s="15"/>
      <c r="E106" s="15"/>
    </row>
    <row r="107">
      <c r="D107" s="15"/>
      <c r="E107" s="15"/>
    </row>
    <row r="108">
      <c r="D108" s="15"/>
      <c r="E108" s="15"/>
    </row>
    <row r="109">
      <c r="D109" s="15"/>
      <c r="E109" s="15"/>
    </row>
    <row r="110">
      <c r="D110" s="15"/>
      <c r="E110" s="15"/>
    </row>
    <row r="111">
      <c r="D111" s="15"/>
      <c r="E111" s="15"/>
    </row>
    <row r="112">
      <c r="D112" s="15"/>
      <c r="E112" s="15"/>
    </row>
    <row r="113">
      <c r="D113" s="15"/>
      <c r="E113" s="15"/>
    </row>
    <row r="114">
      <c r="D114" s="15"/>
      <c r="E114" s="15"/>
    </row>
    <row r="115">
      <c r="D115" s="15"/>
      <c r="E115" s="15"/>
    </row>
    <row r="116">
      <c r="D116" s="15"/>
      <c r="E116" s="15"/>
    </row>
    <row r="117">
      <c r="D117" s="15"/>
      <c r="E117" s="15"/>
    </row>
    <row r="118">
      <c r="D118" s="15"/>
      <c r="E118" s="15"/>
    </row>
    <row r="119">
      <c r="D119" s="15"/>
      <c r="E119" s="15"/>
    </row>
    <row r="120">
      <c r="D120" s="15"/>
      <c r="E120" s="15"/>
    </row>
    <row r="121">
      <c r="D121" s="15"/>
      <c r="E121" s="15"/>
    </row>
    <row r="122">
      <c r="D122" s="15"/>
      <c r="E122" s="15"/>
    </row>
    <row r="123">
      <c r="D123" s="15"/>
      <c r="E123" s="15"/>
    </row>
    <row r="124">
      <c r="D124" s="15"/>
      <c r="E124" s="15"/>
    </row>
    <row r="125">
      <c r="D125" s="15"/>
      <c r="E125" s="15"/>
    </row>
    <row r="126">
      <c r="D126" s="15"/>
      <c r="E126" s="15"/>
    </row>
    <row r="127">
      <c r="D127" s="15"/>
      <c r="E127" s="15"/>
    </row>
    <row r="128">
      <c r="D128" s="15"/>
      <c r="E128" s="15"/>
    </row>
    <row r="129">
      <c r="D129" s="15"/>
      <c r="E129" s="15"/>
    </row>
    <row r="130">
      <c r="D130" s="15"/>
      <c r="E130" s="15"/>
    </row>
    <row r="131">
      <c r="D131" s="15"/>
      <c r="E131" s="15"/>
    </row>
    <row r="132">
      <c r="D132" s="15"/>
      <c r="E132" s="15"/>
    </row>
    <row r="133">
      <c r="D133" s="15"/>
      <c r="E133" s="15"/>
    </row>
    <row r="134">
      <c r="D134" s="15"/>
      <c r="E134" s="15"/>
    </row>
    <row r="135">
      <c r="D135" s="15"/>
      <c r="E135" s="15"/>
    </row>
    <row r="136">
      <c r="D136" s="15"/>
      <c r="E136" s="15"/>
    </row>
    <row r="137">
      <c r="D137" s="15"/>
      <c r="E137" s="15"/>
    </row>
    <row r="138">
      <c r="D138" s="15"/>
      <c r="E138" s="15"/>
    </row>
    <row r="139">
      <c r="D139" s="15"/>
      <c r="E139" s="15"/>
    </row>
    <row r="140">
      <c r="D140" s="15"/>
      <c r="E140" s="15"/>
    </row>
    <row r="141">
      <c r="D141" s="15"/>
      <c r="E141" s="15"/>
    </row>
    <row r="142">
      <c r="D142" s="15"/>
      <c r="E142" s="15"/>
    </row>
    <row r="143">
      <c r="D143" s="15"/>
      <c r="E143" s="15"/>
    </row>
    <row r="144">
      <c r="D144" s="15"/>
      <c r="E144" s="15"/>
    </row>
    <row r="145">
      <c r="D145" s="15"/>
      <c r="E145" s="15"/>
    </row>
    <row r="146">
      <c r="D146" s="15"/>
      <c r="E146" s="15"/>
    </row>
    <row r="147">
      <c r="D147" s="15"/>
      <c r="E147" s="15"/>
    </row>
    <row r="148">
      <c r="D148" s="15"/>
      <c r="E148" s="15"/>
    </row>
    <row r="149">
      <c r="D149" s="15"/>
      <c r="E149" s="15"/>
    </row>
    <row r="150">
      <c r="D150" s="15"/>
      <c r="E150" s="15"/>
    </row>
    <row r="151">
      <c r="D151" s="15"/>
      <c r="E151" s="15"/>
    </row>
    <row r="152">
      <c r="D152" s="15"/>
      <c r="E152" s="15"/>
    </row>
    <row r="153">
      <c r="D153" s="15"/>
      <c r="E153" s="15"/>
    </row>
    <row r="154">
      <c r="D154" s="15"/>
      <c r="E154" s="15"/>
    </row>
    <row r="155">
      <c r="D155" s="15"/>
      <c r="E155" s="15"/>
    </row>
    <row r="156">
      <c r="D156" s="15"/>
      <c r="E156" s="15"/>
    </row>
    <row r="157">
      <c r="D157" s="15"/>
      <c r="E157" s="15"/>
    </row>
    <row r="158">
      <c r="D158" s="15"/>
      <c r="E158" s="15"/>
    </row>
    <row r="159">
      <c r="D159" s="15"/>
      <c r="E159" s="15"/>
    </row>
    <row r="160">
      <c r="D160" s="15"/>
      <c r="E160" s="15"/>
    </row>
    <row r="161">
      <c r="D161" s="15"/>
      <c r="E161" s="15"/>
    </row>
    <row r="162">
      <c r="D162" s="15"/>
      <c r="E162" s="15"/>
    </row>
    <row r="163">
      <c r="D163" s="15"/>
      <c r="E163" s="15"/>
    </row>
    <row r="164">
      <c r="D164" s="15"/>
      <c r="E164" s="15"/>
    </row>
    <row r="165">
      <c r="D165" s="15"/>
      <c r="E165" s="15"/>
    </row>
    <row r="166">
      <c r="D166" s="15"/>
      <c r="E166" s="15"/>
    </row>
    <row r="167">
      <c r="D167" s="15"/>
      <c r="E167" s="15"/>
    </row>
    <row r="168">
      <c r="D168" s="15"/>
      <c r="E168" s="15"/>
    </row>
    <row r="169">
      <c r="D169" s="15"/>
      <c r="E169" s="15"/>
    </row>
    <row r="170">
      <c r="D170" s="15"/>
      <c r="E170" s="15"/>
    </row>
    <row r="171">
      <c r="D171" s="15"/>
      <c r="E171" s="15"/>
    </row>
    <row r="172">
      <c r="D172" s="15"/>
      <c r="E172" s="15"/>
    </row>
    <row r="173">
      <c r="D173" s="15"/>
      <c r="E173" s="15"/>
    </row>
    <row r="174">
      <c r="D174" s="15"/>
      <c r="E174" s="15"/>
    </row>
    <row r="175">
      <c r="D175" s="15"/>
      <c r="E175" s="15"/>
    </row>
    <row r="176">
      <c r="D176" s="15"/>
      <c r="E176" s="15"/>
    </row>
    <row r="177">
      <c r="D177" s="15"/>
      <c r="E177" s="15"/>
    </row>
    <row r="178">
      <c r="D178" s="15"/>
      <c r="E178" s="15"/>
    </row>
    <row r="179">
      <c r="D179" s="15"/>
      <c r="E179" s="15"/>
    </row>
    <row r="180">
      <c r="D180" s="15"/>
      <c r="E180" s="15"/>
    </row>
    <row r="181">
      <c r="D181" s="15"/>
      <c r="E181" s="15"/>
    </row>
    <row r="182">
      <c r="D182" s="15"/>
      <c r="E182" s="15"/>
    </row>
    <row r="183">
      <c r="D183" s="15"/>
      <c r="E183" s="15"/>
    </row>
    <row r="184">
      <c r="D184" s="15"/>
      <c r="E184" s="15"/>
    </row>
    <row r="185">
      <c r="D185" s="15"/>
      <c r="E185" s="15"/>
    </row>
    <row r="186">
      <c r="D186" s="15"/>
      <c r="E186" s="15"/>
    </row>
    <row r="187">
      <c r="D187" s="15"/>
      <c r="E187" s="15"/>
    </row>
    <row r="188">
      <c r="D188" s="15"/>
      <c r="E188" s="15"/>
    </row>
    <row r="189">
      <c r="D189" s="15"/>
      <c r="E189" s="15"/>
    </row>
    <row r="190">
      <c r="D190" s="15"/>
      <c r="E190" s="15"/>
    </row>
    <row r="191">
      <c r="D191" s="15"/>
      <c r="E191" s="15"/>
    </row>
    <row r="192">
      <c r="D192" s="15"/>
      <c r="E192" s="15"/>
    </row>
    <row r="193">
      <c r="D193" s="15"/>
      <c r="E193" s="15"/>
    </row>
    <row r="194">
      <c r="D194" s="15"/>
      <c r="E194" s="15"/>
    </row>
    <row r="195">
      <c r="D195" s="15"/>
      <c r="E195" s="15"/>
    </row>
    <row r="196">
      <c r="D196" s="15"/>
      <c r="E196" s="15"/>
    </row>
    <row r="197">
      <c r="D197" s="15"/>
      <c r="E197" s="15"/>
    </row>
    <row r="198">
      <c r="D198" s="15"/>
      <c r="E198" s="15"/>
    </row>
    <row r="199">
      <c r="D199" s="15"/>
      <c r="E199" s="15"/>
    </row>
    <row r="200">
      <c r="D200" s="15"/>
      <c r="E200" s="15"/>
    </row>
    <row r="201">
      <c r="D201" s="15"/>
      <c r="E201" s="15"/>
    </row>
    <row r="202">
      <c r="D202" s="15"/>
      <c r="E202" s="15"/>
    </row>
    <row r="203">
      <c r="D203" s="15"/>
      <c r="E203" s="15"/>
    </row>
    <row r="204">
      <c r="D204" s="15"/>
      <c r="E204" s="15"/>
    </row>
    <row r="205">
      <c r="D205" s="15"/>
      <c r="E205" s="15"/>
    </row>
    <row r="206">
      <c r="D206" s="15"/>
      <c r="E206" s="15"/>
    </row>
    <row r="207">
      <c r="D207" s="15"/>
      <c r="E207" s="15"/>
    </row>
    <row r="208">
      <c r="D208" s="15"/>
      <c r="E208" s="15"/>
    </row>
    <row r="209">
      <c r="D209" s="15"/>
      <c r="E209" s="15"/>
    </row>
    <row r="210">
      <c r="D210" s="15"/>
      <c r="E210" s="15"/>
    </row>
    <row r="211">
      <c r="D211" s="15"/>
      <c r="E211" s="15"/>
    </row>
    <row r="212">
      <c r="D212" s="15"/>
      <c r="E212" s="15"/>
    </row>
    <row r="213">
      <c r="D213" s="15"/>
      <c r="E213" s="15"/>
    </row>
    <row r="214">
      <c r="D214" s="15"/>
      <c r="E214" s="15"/>
    </row>
    <row r="215">
      <c r="D215" s="15"/>
      <c r="E215" s="15"/>
    </row>
    <row r="216">
      <c r="D216" s="15"/>
      <c r="E216" s="15"/>
    </row>
    <row r="217">
      <c r="D217" s="15"/>
      <c r="E217" s="15"/>
    </row>
    <row r="218">
      <c r="D218" s="15"/>
      <c r="E218" s="15"/>
    </row>
    <row r="219">
      <c r="D219" s="15"/>
      <c r="E219" s="15"/>
    </row>
    <row r="220">
      <c r="D220" s="15"/>
      <c r="E220" s="15"/>
    </row>
    <row r="221">
      <c r="D221" s="15"/>
      <c r="E221" s="15"/>
    </row>
    <row r="222">
      <c r="D222" s="15"/>
      <c r="E222" s="15"/>
    </row>
    <row r="223">
      <c r="D223" s="15"/>
      <c r="E223" s="15"/>
    </row>
    <row r="224">
      <c r="D224" s="15"/>
      <c r="E224" s="15"/>
    </row>
    <row r="225">
      <c r="D225" s="15"/>
      <c r="E225" s="15"/>
    </row>
    <row r="226">
      <c r="D226" s="15"/>
      <c r="E226" s="15"/>
    </row>
    <row r="227">
      <c r="D227" s="15"/>
      <c r="E227" s="15"/>
    </row>
    <row r="228">
      <c r="D228" s="15"/>
      <c r="E228" s="15"/>
    </row>
    <row r="229">
      <c r="D229" s="15"/>
      <c r="E229" s="15"/>
    </row>
    <row r="230">
      <c r="D230" s="15"/>
      <c r="E230" s="15"/>
    </row>
    <row r="231">
      <c r="D231" s="15"/>
      <c r="E231" s="15"/>
    </row>
    <row r="232">
      <c r="D232" s="15"/>
      <c r="E232" s="15"/>
    </row>
    <row r="233">
      <c r="D233" s="15"/>
      <c r="E233" s="15"/>
    </row>
    <row r="234">
      <c r="D234" s="15"/>
      <c r="E234" s="15"/>
    </row>
    <row r="235">
      <c r="D235" s="15"/>
      <c r="E235" s="15"/>
    </row>
    <row r="236">
      <c r="D236" s="15"/>
      <c r="E236" s="15"/>
    </row>
    <row r="237">
      <c r="D237" s="15"/>
      <c r="E237" s="15"/>
    </row>
    <row r="238">
      <c r="D238" s="15"/>
      <c r="E238" s="15"/>
    </row>
    <row r="239">
      <c r="D239" s="15"/>
      <c r="E239" s="15"/>
    </row>
    <row r="240">
      <c r="D240" s="15"/>
      <c r="E240" s="15"/>
    </row>
    <row r="241">
      <c r="D241" s="15"/>
      <c r="E241" s="15"/>
    </row>
    <row r="242">
      <c r="D242" s="15"/>
      <c r="E242" s="15"/>
    </row>
    <row r="243">
      <c r="D243" s="15"/>
      <c r="E243" s="15"/>
    </row>
    <row r="244">
      <c r="D244" s="15"/>
      <c r="E244" s="15"/>
    </row>
    <row r="245">
      <c r="D245" s="15"/>
      <c r="E245" s="15"/>
    </row>
    <row r="246">
      <c r="D246" s="15"/>
      <c r="E246" s="15"/>
    </row>
    <row r="247">
      <c r="D247" s="15"/>
      <c r="E247" s="15"/>
    </row>
    <row r="248">
      <c r="D248" s="15"/>
      <c r="E248" s="15"/>
    </row>
    <row r="249">
      <c r="D249" s="15"/>
      <c r="E249" s="15"/>
    </row>
    <row r="250">
      <c r="D250" s="15"/>
      <c r="E250" s="15"/>
    </row>
    <row r="251">
      <c r="D251" s="15"/>
      <c r="E251" s="15"/>
    </row>
    <row r="252">
      <c r="D252" s="15"/>
      <c r="E252" s="15"/>
    </row>
    <row r="253">
      <c r="D253" s="15"/>
      <c r="E253" s="15"/>
    </row>
    <row r="254">
      <c r="D254" s="15"/>
      <c r="E254" s="15"/>
    </row>
    <row r="255">
      <c r="D255" s="15"/>
      <c r="E255" s="15"/>
    </row>
    <row r="256">
      <c r="D256" s="15"/>
      <c r="E256" s="15"/>
    </row>
    <row r="257">
      <c r="D257" s="15"/>
      <c r="E257" s="15"/>
    </row>
    <row r="258">
      <c r="D258" s="15"/>
      <c r="E258" s="15"/>
    </row>
    <row r="259">
      <c r="D259" s="15"/>
      <c r="E259" s="15"/>
    </row>
    <row r="260">
      <c r="D260" s="15"/>
      <c r="E260" s="15"/>
    </row>
    <row r="261">
      <c r="D261" s="15"/>
      <c r="E261" s="15"/>
    </row>
    <row r="262">
      <c r="D262" s="15"/>
      <c r="E262" s="15"/>
    </row>
    <row r="263">
      <c r="D263" s="15"/>
      <c r="E263" s="15"/>
    </row>
    <row r="264">
      <c r="D264" s="15"/>
      <c r="E264" s="15"/>
    </row>
    <row r="265">
      <c r="D265" s="15"/>
      <c r="E265" s="15"/>
    </row>
    <row r="266">
      <c r="D266" s="15"/>
      <c r="E266" s="15"/>
    </row>
    <row r="267">
      <c r="D267" s="15"/>
      <c r="E267" s="15"/>
    </row>
    <row r="268">
      <c r="D268" s="15"/>
      <c r="E268" s="15"/>
    </row>
    <row r="269">
      <c r="D269" s="15"/>
      <c r="E269" s="15"/>
    </row>
    <row r="270">
      <c r="D270" s="15"/>
      <c r="E270" s="15"/>
    </row>
    <row r="271">
      <c r="D271" s="15"/>
      <c r="E271" s="15"/>
    </row>
    <row r="272">
      <c r="D272" s="15"/>
      <c r="E272" s="15"/>
    </row>
    <row r="273">
      <c r="D273" s="15"/>
      <c r="E273" s="15"/>
    </row>
    <row r="274">
      <c r="D274" s="15"/>
      <c r="E274" s="15"/>
    </row>
    <row r="275">
      <c r="D275" s="15"/>
      <c r="E275" s="15"/>
    </row>
    <row r="276">
      <c r="D276" s="15"/>
      <c r="E276" s="15"/>
    </row>
    <row r="277">
      <c r="D277" s="15"/>
      <c r="E277" s="15"/>
    </row>
    <row r="278">
      <c r="D278" s="15"/>
      <c r="E278" s="15"/>
    </row>
    <row r="279">
      <c r="D279" s="15"/>
      <c r="E279" s="15"/>
    </row>
    <row r="280">
      <c r="D280" s="15"/>
      <c r="E280" s="15"/>
    </row>
    <row r="281">
      <c r="D281" s="15"/>
      <c r="E281" s="15"/>
    </row>
    <row r="282">
      <c r="D282" s="15"/>
      <c r="E282" s="15"/>
    </row>
    <row r="283">
      <c r="D283" s="15"/>
      <c r="E283" s="15"/>
    </row>
    <row r="284">
      <c r="D284" s="15"/>
      <c r="E284" s="15"/>
    </row>
    <row r="285">
      <c r="D285" s="15"/>
      <c r="E285" s="15"/>
    </row>
    <row r="286">
      <c r="D286" s="15"/>
      <c r="E286" s="15"/>
    </row>
    <row r="287">
      <c r="D287" s="15"/>
      <c r="E287" s="15"/>
    </row>
    <row r="288">
      <c r="D288" s="15"/>
      <c r="E288" s="15"/>
    </row>
    <row r="289">
      <c r="D289" s="15"/>
      <c r="E289" s="15"/>
    </row>
    <row r="290">
      <c r="D290" s="15"/>
      <c r="E290" s="15"/>
    </row>
    <row r="291">
      <c r="D291" s="15"/>
      <c r="E291" s="15"/>
    </row>
    <row r="292">
      <c r="D292" s="15"/>
      <c r="E292" s="15"/>
    </row>
    <row r="293">
      <c r="D293" s="15"/>
      <c r="E293" s="15"/>
    </row>
    <row r="294">
      <c r="D294" s="15"/>
      <c r="E294" s="15"/>
    </row>
    <row r="295">
      <c r="D295" s="15"/>
      <c r="E295" s="15"/>
    </row>
    <row r="296">
      <c r="D296" s="15"/>
      <c r="E296" s="15"/>
    </row>
    <row r="297">
      <c r="D297" s="15"/>
      <c r="E297" s="15"/>
    </row>
    <row r="298">
      <c r="D298" s="15"/>
      <c r="E298" s="15"/>
    </row>
    <row r="299">
      <c r="D299" s="15"/>
      <c r="E299" s="15"/>
    </row>
    <row r="300">
      <c r="D300" s="15"/>
      <c r="E300" s="15"/>
    </row>
    <row r="301">
      <c r="D301" s="15"/>
      <c r="E301" s="15"/>
    </row>
    <row r="302">
      <c r="D302" s="15"/>
      <c r="E302" s="15"/>
    </row>
    <row r="303">
      <c r="D303" s="15"/>
      <c r="E303" s="15"/>
    </row>
    <row r="304">
      <c r="D304" s="15"/>
      <c r="E304" s="15"/>
    </row>
    <row r="305">
      <c r="D305" s="15"/>
      <c r="E305" s="15"/>
    </row>
    <row r="306">
      <c r="D306" s="15"/>
      <c r="E306" s="15"/>
    </row>
    <row r="307">
      <c r="D307" s="15"/>
      <c r="E307" s="15"/>
    </row>
    <row r="308">
      <c r="D308" s="15"/>
      <c r="E308" s="15"/>
    </row>
    <row r="309">
      <c r="D309" s="15"/>
      <c r="E309" s="15"/>
    </row>
    <row r="310">
      <c r="D310" s="15"/>
      <c r="E310" s="15"/>
    </row>
    <row r="311">
      <c r="D311" s="15"/>
      <c r="E311" s="15"/>
    </row>
    <row r="312">
      <c r="D312" s="15"/>
      <c r="E312" s="15"/>
    </row>
    <row r="313">
      <c r="D313" s="15"/>
      <c r="E313" s="15"/>
    </row>
    <row r="314">
      <c r="D314" s="15"/>
      <c r="E314" s="15"/>
    </row>
    <row r="315">
      <c r="D315" s="15"/>
      <c r="E315" s="15"/>
    </row>
    <row r="316">
      <c r="D316" s="15"/>
      <c r="E316" s="15"/>
    </row>
    <row r="317">
      <c r="D317" s="15"/>
      <c r="E317" s="15"/>
    </row>
    <row r="318">
      <c r="D318" s="15"/>
      <c r="E318" s="15"/>
    </row>
    <row r="319">
      <c r="D319" s="15"/>
      <c r="E319" s="15"/>
    </row>
    <row r="320">
      <c r="D320" s="15"/>
      <c r="E320" s="15"/>
    </row>
    <row r="321">
      <c r="D321" s="15"/>
      <c r="E321" s="15"/>
    </row>
    <row r="322">
      <c r="D322" s="15"/>
      <c r="E322" s="15"/>
    </row>
    <row r="323">
      <c r="D323" s="15"/>
      <c r="E323" s="15"/>
    </row>
    <row r="324">
      <c r="D324" s="15"/>
      <c r="E324" s="15"/>
    </row>
    <row r="325">
      <c r="D325" s="15"/>
      <c r="E325" s="15"/>
    </row>
    <row r="326">
      <c r="D326" s="15"/>
      <c r="E326" s="15"/>
    </row>
    <row r="327">
      <c r="D327" s="15"/>
      <c r="E327" s="15"/>
    </row>
    <row r="328">
      <c r="D328" s="15"/>
      <c r="E328" s="15"/>
    </row>
    <row r="329">
      <c r="D329" s="15"/>
      <c r="E329" s="15"/>
    </row>
    <row r="330">
      <c r="D330" s="15"/>
      <c r="E330" s="15"/>
    </row>
    <row r="331">
      <c r="D331" s="15"/>
      <c r="E331" s="15"/>
    </row>
    <row r="332">
      <c r="D332" s="15"/>
      <c r="E332" s="15"/>
    </row>
    <row r="333">
      <c r="D333" s="15"/>
      <c r="E333" s="15"/>
    </row>
    <row r="334">
      <c r="D334" s="15"/>
      <c r="E334" s="15"/>
    </row>
    <row r="335">
      <c r="D335" s="15"/>
      <c r="E335" s="15"/>
    </row>
    <row r="336">
      <c r="D336" s="15"/>
      <c r="E336" s="15"/>
    </row>
    <row r="337">
      <c r="D337" s="15"/>
      <c r="E337" s="15"/>
    </row>
    <row r="338">
      <c r="D338" s="15"/>
      <c r="E338" s="15"/>
    </row>
    <row r="339">
      <c r="D339" s="15"/>
      <c r="E339" s="15"/>
    </row>
    <row r="340">
      <c r="D340" s="15"/>
      <c r="E340" s="15"/>
    </row>
    <row r="341">
      <c r="D341" s="15"/>
      <c r="E341" s="15"/>
    </row>
    <row r="342">
      <c r="D342" s="15"/>
      <c r="E342" s="15"/>
    </row>
    <row r="343">
      <c r="D343" s="15"/>
      <c r="E343" s="15"/>
    </row>
    <row r="344">
      <c r="D344" s="15"/>
      <c r="E344" s="15"/>
    </row>
    <row r="345">
      <c r="D345" s="15"/>
      <c r="E345" s="15"/>
    </row>
    <row r="346">
      <c r="D346" s="15"/>
      <c r="E346" s="15"/>
    </row>
    <row r="347">
      <c r="D347" s="15"/>
      <c r="E347" s="15"/>
    </row>
    <row r="348">
      <c r="D348" s="15"/>
      <c r="E348" s="15"/>
    </row>
    <row r="349">
      <c r="D349" s="15"/>
      <c r="E349" s="15"/>
    </row>
    <row r="350">
      <c r="D350" s="15"/>
      <c r="E350" s="15"/>
    </row>
    <row r="351">
      <c r="D351" s="15"/>
      <c r="E351" s="15"/>
    </row>
    <row r="352">
      <c r="D352" s="15"/>
      <c r="E352" s="15"/>
    </row>
    <row r="353">
      <c r="D353" s="15"/>
      <c r="E353" s="15"/>
    </row>
    <row r="354">
      <c r="D354" s="15"/>
      <c r="E354" s="15"/>
    </row>
    <row r="355">
      <c r="D355" s="15"/>
      <c r="E355" s="15"/>
    </row>
    <row r="356">
      <c r="D356" s="15"/>
      <c r="E356" s="15"/>
    </row>
    <row r="357">
      <c r="D357" s="15"/>
      <c r="E357" s="15"/>
    </row>
    <row r="358">
      <c r="D358" s="15"/>
      <c r="E358" s="15"/>
    </row>
    <row r="359">
      <c r="D359" s="15"/>
      <c r="E359" s="15"/>
    </row>
    <row r="360">
      <c r="D360" s="15"/>
      <c r="E360" s="15"/>
    </row>
    <row r="361">
      <c r="D361" s="15"/>
      <c r="E361" s="15"/>
    </row>
    <row r="362">
      <c r="D362" s="15"/>
      <c r="E362" s="15"/>
    </row>
    <row r="363">
      <c r="D363" s="15"/>
      <c r="E363" s="15"/>
    </row>
    <row r="364">
      <c r="D364" s="15"/>
      <c r="E364" s="15"/>
    </row>
    <row r="365">
      <c r="D365" s="15"/>
      <c r="E365" s="15"/>
    </row>
    <row r="366">
      <c r="D366" s="15"/>
      <c r="E366" s="15"/>
    </row>
    <row r="367">
      <c r="D367" s="15"/>
      <c r="E367" s="15"/>
    </row>
    <row r="368">
      <c r="D368" s="15"/>
      <c r="E368" s="15"/>
    </row>
    <row r="369">
      <c r="D369" s="15"/>
      <c r="E369" s="15"/>
    </row>
    <row r="370">
      <c r="D370" s="15"/>
      <c r="E370" s="15"/>
    </row>
    <row r="371">
      <c r="D371" s="15"/>
      <c r="E371" s="15"/>
    </row>
    <row r="372">
      <c r="D372" s="15"/>
      <c r="E372" s="15"/>
    </row>
    <row r="373">
      <c r="D373" s="15"/>
      <c r="E373" s="15"/>
    </row>
    <row r="374">
      <c r="D374" s="15"/>
      <c r="E374" s="15"/>
    </row>
    <row r="375">
      <c r="D375" s="15"/>
      <c r="E375" s="15"/>
    </row>
    <row r="376">
      <c r="D376" s="15"/>
      <c r="E376" s="15"/>
    </row>
    <row r="377">
      <c r="D377" s="15"/>
      <c r="E377" s="15"/>
    </row>
    <row r="378">
      <c r="D378" s="15"/>
      <c r="E378" s="15"/>
    </row>
    <row r="379">
      <c r="D379" s="15"/>
      <c r="E379" s="15"/>
    </row>
    <row r="380">
      <c r="D380" s="15"/>
      <c r="E380" s="15"/>
    </row>
    <row r="381">
      <c r="D381" s="15"/>
      <c r="E381" s="15"/>
    </row>
    <row r="382">
      <c r="D382" s="15"/>
      <c r="E382" s="15"/>
    </row>
    <row r="383">
      <c r="D383" s="15"/>
      <c r="E383" s="15"/>
    </row>
    <row r="384">
      <c r="D384" s="15"/>
      <c r="E384" s="15"/>
    </row>
    <row r="385">
      <c r="D385" s="15"/>
      <c r="E385" s="15"/>
    </row>
    <row r="386">
      <c r="D386" s="15"/>
      <c r="E386" s="15"/>
    </row>
    <row r="387">
      <c r="D387" s="15"/>
      <c r="E387" s="15"/>
    </row>
    <row r="388">
      <c r="D388" s="15"/>
      <c r="E388" s="15"/>
    </row>
    <row r="389">
      <c r="D389" s="15"/>
      <c r="E389" s="15"/>
    </row>
    <row r="390">
      <c r="D390" s="15"/>
      <c r="E390" s="15"/>
    </row>
    <row r="391">
      <c r="D391" s="15"/>
      <c r="E391" s="15"/>
    </row>
    <row r="392">
      <c r="D392" s="15"/>
      <c r="E392" s="15"/>
    </row>
    <row r="393">
      <c r="D393" s="15"/>
      <c r="E393" s="15"/>
    </row>
    <row r="394">
      <c r="D394" s="15"/>
      <c r="E394" s="15"/>
    </row>
    <row r="395">
      <c r="D395" s="15"/>
      <c r="E395" s="15"/>
    </row>
    <row r="396">
      <c r="D396" s="15"/>
      <c r="E396" s="15"/>
    </row>
    <row r="397">
      <c r="D397" s="15"/>
      <c r="E397" s="15"/>
    </row>
    <row r="398">
      <c r="D398" s="15"/>
      <c r="E398" s="15"/>
    </row>
    <row r="399">
      <c r="D399" s="15"/>
      <c r="E399" s="15"/>
    </row>
    <row r="400">
      <c r="D400" s="15"/>
      <c r="E400" s="15"/>
    </row>
    <row r="401">
      <c r="D401" s="15"/>
      <c r="E401" s="15"/>
    </row>
    <row r="402">
      <c r="D402" s="15"/>
      <c r="E402" s="15"/>
    </row>
    <row r="403">
      <c r="D403" s="15"/>
      <c r="E403" s="15"/>
    </row>
    <row r="404">
      <c r="D404" s="15"/>
      <c r="E404" s="15"/>
    </row>
    <row r="405">
      <c r="D405" s="15"/>
      <c r="E405" s="15"/>
    </row>
    <row r="406">
      <c r="D406" s="15"/>
      <c r="E406" s="15"/>
    </row>
    <row r="407">
      <c r="D407" s="15"/>
      <c r="E407" s="15"/>
    </row>
    <row r="408">
      <c r="D408" s="15"/>
      <c r="E408" s="15"/>
    </row>
    <row r="409">
      <c r="D409" s="15"/>
      <c r="E409" s="15"/>
    </row>
    <row r="410">
      <c r="D410" s="15"/>
      <c r="E410" s="15"/>
    </row>
    <row r="411">
      <c r="D411" s="15"/>
      <c r="E411" s="15"/>
    </row>
    <row r="412">
      <c r="D412" s="15"/>
      <c r="E412" s="15"/>
    </row>
    <row r="413">
      <c r="D413" s="15"/>
      <c r="E413" s="15"/>
    </row>
    <row r="414">
      <c r="D414" s="15"/>
      <c r="E414" s="15"/>
    </row>
    <row r="415">
      <c r="D415" s="15"/>
      <c r="E415" s="15"/>
    </row>
    <row r="416">
      <c r="D416" s="15"/>
      <c r="E416" s="15"/>
    </row>
    <row r="417">
      <c r="D417" s="15"/>
      <c r="E417" s="15"/>
    </row>
    <row r="418">
      <c r="D418" s="15"/>
      <c r="E418" s="15"/>
    </row>
    <row r="419">
      <c r="D419" s="15"/>
      <c r="E419" s="15"/>
    </row>
    <row r="420">
      <c r="D420" s="15"/>
      <c r="E420" s="15"/>
    </row>
    <row r="421">
      <c r="D421" s="15"/>
      <c r="E421" s="15"/>
    </row>
    <row r="422">
      <c r="D422" s="15"/>
      <c r="E422" s="15"/>
    </row>
    <row r="423">
      <c r="D423" s="15"/>
      <c r="E423" s="15"/>
    </row>
    <row r="424">
      <c r="D424" s="15"/>
      <c r="E424" s="15"/>
    </row>
    <row r="425">
      <c r="D425" s="15"/>
      <c r="E425" s="15"/>
    </row>
    <row r="426">
      <c r="D426" s="15"/>
      <c r="E426" s="15"/>
    </row>
    <row r="427">
      <c r="D427" s="15"/>
      <c r="E427" s="15"/>
    </row>
    <row r="428">
      <c r="D428" s="15"/>
      <c r="E428" s="15"/>
    </row>
    <row r="429">
      <c r="D429" s="15"/>
      <c r="E429" s="15"/>
    </row>
    <row r="430">
      <c r="D430" s="15"/>
      <c r="E430" s="15"/>
    </row>
    <row r="431">
      <c r="D431" s="15"/>
      <c r="E431" s="15"/>
    </row>
    <row r="432">
      <c r="D432" s="15"/>
      <c r="E432" s="15"/>
    </row>
    <row r="433">
      <c r="D433" s="15"/>
      <c r="E433" s="15"/>
    </row>
    <row r="434">
      <c r="D434" s="15"/>
      <c r="E434" s="15"/>
    </row>
    <row r="435">
      <c r="D435" s="15"/>
      <c r="E435" s="15"/>
    </row>
    <row r="436">
      <c r="D436" s="15"/>
      <c r="E436" s="15"/>
    </row>
    <row r="437">
      <c r="D437" s="15"/>
      <c r="E437" s="15"/>
    </row>
    <row r="438">
      <c r="D438" s="15"/>
      <c r="E438" s="15"/>
    </row>
    <row r="439">
      <c r="D439" s="15"/>
      <c r="E439" s="15"/>
    </row>
    <row r="440">
      <c r="D440" s="15"/>
      <c r="E440" s="15"/>
    </row>
    <row r="441">
      <c r="D441" s="15"/>
      <c r="E441" s="15"/>
    </row>
    <row r="442">
      <c r="D442" s="15"/>
      <c r="E442" s="15"/>
    </row>
    <row r="443">
      <c r="D443" s="15"/>
      <c r="E443" s="15"/>
    </row>
    <row r="444">
      <c r="D444" s="15"/>
      <c r="E444" s="15"/>
    </row>
    <row r="445">
      <c r="D445" s="15"/>
      <c r="E445" s="15"/>
    </row>
    <row r="446">
      <c r="D446" s="15"/>
      <c r="E446" s="15"/>
    </row>
    <row r="447">
      <c r="D447" s="15"/>
      <c r="E447" s="15"/>
    </row>
    <row r="448">
      <c r="D448" s="15"/>
      <c r="E448" s="15"/>
    </row>
    <row r="449">
      <c r="D449" s="15"/>
      <c r="E449" s="15"/>
    </row>
    <row r="450">
      <c r="D450" s="15"/>
      <c r="E450" s="15"/>
    </row>
    <row r="451">
      <c r="D451" s="15"/>
      <c r="E451" s="15"/>
    </row>
    <row r="452">
      <c r="D452" s="15"/>
      <c r="E452" s="15"/>
    </row>
    <row r="453">
      <c r="D453" s="15"/>
      <c r="E453" s="15"/>
    </row>
    <row r="454">
      <c r="D454" s="15"/>
      <c r="E454" s="15"/>
    </row>
    <row r="455">
      <c r="D455" s="15"/>
      <c r="E455" s="15"/>
    </row>
    <row r="456">
      <c r="D456" s="15"/>
      <c r="E456" s="15"/>
    </row>
    <row r="457">
      <c r="D457" s="15"/>
      <c r="E457" s="15"/>
    </row>
    <row r="458">
      <c r="D458" s="15"/>
      <c r="E458" s="15"/>
    </row>
    <row r="459">
      <c r="D459" s="15"/>
      <c r="E459" s="15"/>
    </row>
    <row r="460">
      <c r="D460" s="15"/>
      <c r="E460" s="15"/>
    </row>
    <row r="461">
      <c r="D461" s="15"/>
      <c r="E461" s="15"/>
    </row>
    <row r="462">
      <c r="D462" s="15"/>
      <c r="E462" s="15"/>
    </row>
    <row r="463">
      <c r="D463" s="15"/>
      <c r="E463" s="15"/>
    </row>
    <row r="464">
      <c r="D464" s="15"/>
      <c r="E464" s="15"/>
    </row>
    <row r="465">
      <c r="D465" s="15"/>
      <c r="E465" s="15"/>
    </row>
    <row r="466">
      <c r="D466" s="15"/>
      <c r="E466" s="15"/>
    </row>
    <row r="467">
      <c r="D467" s="15"/>
      <c r="E467" s="15"/>
    </row>
    <row r="468">
      <c r="D468" s="15"/>
      <c r="E468" s="15"/>
    </row>
    <row r="469">
      <c r="D469" s="15"/>
      <c r="E469" s="15"/>
    </row>
    <row r="470">
      <c r="D470" s="15"/>
      <c r="E470" s="15"/>
    </row>
    <row r="471">
      <c r="D471" s="15"/>
      <c r="E471" s="15"/>
    </row>
    <row r="472">
      <c r="D472" s="15"/>
      <c r="E472" s="15"/>
    </row>
    <row r="473">
      <c r="D473" s="15"/>
      <c r="E473" s="15"/>
    </row>
    <row r="474">
      <c r="D474" s="15"/>
      <c r="E474" s="15"/>
    </row>
    <row r="475">
      <c r="D475" s="15"/>
      <c r="E475" s="15"/>
    </row>
    <row r="476">
      <c r="D476" s="15"/>
      <c r="E476" s="15"/>
    </row>
    <row r="477">
      <c r="D477" s="15"/>
      <c r="E477" s="15"/>
    </row>
    <row r="478">
      <c r="D478" s="15"/>
      <c r="E478" s="15"/>
    </row>
    <row r="479">
      <c r="D479" s="15"/>
      <c r="E479" s="15"/>
    </row>
    <row r="480">
      <c r="D480" s="15"/>
      <c r="E480" s="15"/>
    </row>
    <row r="481">
      <c r="D481" s="15"/>
      <c r="E481" s="15"/>
    </row>
    <row r="482">
      <c r="D482" s="15"/>
      <c r="E482" s="15"/>
    </row>
    <row r="483">
      <c r="D483" s="15"/>
      <c r="E483" s="15"/>
    </row>
    <row r="484">
      <c r="D484" s="15"/>
      <c r="E484" s="15"/>
    </row>
    <row r="485">
      <c r="D485" s="15"/>
      <c r="E485" s="15"/>
    </row>
    <row r="486">
      <c r="D486" s="15"/>
      <c r="E486" s="15"/>
    </row>
    <row r="487">
      <c r="D487" s="15"/>
      <c r="E487" s="15"/>
    </row>
    <row r="488">
      <c r="D488" s="15"/>
      <c r="E488" s="15"/>
    </row>
    <row r="489">
      <c r="D489" s="15"/>
      <c r="E489" s="15"/>
    </row>
    <row r="490">
      <c r="D490" s="15"/>
      <c r="E490" s="15"/>
    </row>
    <row r="491">
      <c r="D491" s="15"/>
      <c r="E491" s="15"/>
    </row>
    <row r="492">
      <c r="D492" s="15"/>
      <c r="E492" s="15"/>
    </row>
    <row r="493">
      <c r="D493" s="15"/>
      <c r="E493" s="15"/>
    </row>
    <row r="494">
      <c r="D494" s="15"/>
      <c r="E494" s="15"/>
    </row>
    <row r="495">
      <c r="D495" s="15"/>
      <c r="E495" s="15"/>
    </row>
    <row r="496">
      <c r="D496" s="15"/>
      <c r="E496" s="15"/>
    </row>
    <row r="497">
      <c r="D497" s="15"/>
      <c r="E497" s="15"/>
    </row>
    <row r="498">
      <c r="D498" s="15"/>
      <c r="E498" s="15"/>
    </row>
    <row r="499">
      <c r="D499" s="15"/>
      <c r="E499" s="15"/>
    </row>
    <row r="500">
      <c r="D500" s="15"/>
      <c r="E500" s="15"/>
    </row>
    <row r="501">
      <c r="D501" s="15"/>
      <c r="E501" s="15"/>
    </row>
    <row r="502">
      <c r="D502" s="15"/>
      <c r="E502" s="15"/>
    </row>
    <row r="503">
      <c r="D503" s="15"/>
      <c r="E503" s="15"/>
    </row>
    <row r="504">
      <c r="D504" s="15"/>
      <c r="E504" s="15"/>
    </row>
    <row r="505">
      <c r="D505" s="15"/>
      <c r="E505" s="15"/>
    </row>
    <row r="506">
      <c r="D506" s="15"/>
      <c r="E506" s="15"/>
    </row>
    <row r="507">
      <c r="D507" s="15"/>
      <c r="E507" s="15"/>
    </row>
    <row r="508">
      <c r="D508" s="15"/>
      <c r="E508" s="15"/>
    </row>
    <row r="509">
      <c r="D509" s="15"/>
      <c r="E509" s="15"/>
    </row>
    <row r="510">
      <c r="D510" s="15"/>
      <c r="E510" s="15"/>
    </row>
    <row r="511">
      <c r="D511" s="15"/>
      <c r="E511" s="15"/>
    </row>
    <row r="512">
      <c r="D512" s="15"/>
      <c r="E512" s="15"/>
    </row>
    <row r="513">
      <c r="D513" s="15"/>
      <c r="E513" s="15"/>
    </row>
    <row r="514">
      <c r="D514" s="15"/>
      <c r="E514" s="15"/>
    </row>
    <row r="515">
      <c r="D515" s="15"/>
      <c r="E515" s="15"/>
    </row>
    <row r="516">
      <c r="D516" s="15"/>
      <c r="E516" s="15"/>
    </row>
    <row r="517">
      <c r="D517" s="15"/>
      <c r="E517" s="15"/>
    </row>
    <row r="518">
      <c r="D518" s="15"/>
      <c r="E518" s="15"/>
    </row>
    <row r="519">
      <c r="D519" s="15"/>
      <c r="E519" s="15"/>
    </row>
    <row r="520">
      <c r="D520" s="15"/>
      <c r="E520" s="15"/>
    </row>
    <row r="521">
      <c r="D521" s="15"/>
      <c r="E521" s="15"/>
    </row>
    <row r="522">
      <c r="D522" s="15"/>
      <c r="E522" s="15"/>
    </row>
    <row r="523">
      <c r="D523" s="15"/>
      <c r="E523" s="15"/>
    </row>
    <row r="524">
      <c r="D524" s="15"/>
      <c r="E524" s="15"/>
    </row>
    <row r="525">
      <c r="D525" s="15"/>
      <c r="E525" s="15"/>
    </row>
    <row r="526">
      <c r="D526" s="15"/>
      <c r="E526" s="15"/>
    </row>
    <row r="527">
      <c r="D527" s="15"/>
      <c r="E527" s="15"/>
    </row>
    <row r="528">
      <c r="D528" s="15"/>
      <c r="E528" s="15"/>
    </row>
    <row r="529">
      <c r="D529" s="15"/>
      <c r="E529" s="15"/>
    </row>
    <row r="530">
      <c r="D530" s="15"/>
      <c r="E530" s="15"/>
    </row>
    <row r="531">
      <c r="D531" s="15"/>
      <c r="E531" s="15"/>
    </row>
    <row r="532">
      <c r="D532" s="15"/>
      <c r="E532" s="15"/>
    </row>
    <row r="533">
      <c r="D533" s="15"/>
      <c r="E533" s="15"/>
    </row>
    <row r="534">
      <c r="D534" s="15"/>
      <c r="E534" s="15"/>
    </row>
    <row r="535">
      <c r="D535" s="15"/>
      <c r="E535" s="15"/>
    </row>
    <row r="536">
      <c r="D536" s="15"/>
      <c r="E536" s="15"/>
    </row>
    <row r="537">
      <c r="D537" s="15"/>
      <c r="E537" s="15"/>
    </row>
    <row r="538">
      <c r="D538" s="15"/>
      <c r="E538" s="15"/>
    </row>
    <row r="539">
      <c r="D539" s="15"/>
      <c r="E539" s="15"/>
    </row>
    <row r="540">
      <c r="D540" s="15"/>
      <c r="E540" s="15"/>
    </row>
    <row r="541">
      <c r="D541" s="15"/>
      <c r="E541" s="15"/>
    </row>
    <row r="542">
      <c r="D542" s="15"/>
      <c r="E542" s="15"/>
    </row>
    <row r="543">
      <c r="D543" s="15"/>
      <c r="E543" s="15"/>
    </row>
    <row r="544">
      <c r="D544" s="15"/>
      <c r="E544" s="15"/>
    </row>
    <row r="545">
      <c r="D545" s="15"/>
      <c r="E545" s="15"/>
    </row>
    <row r="546">
      <c r="D546" s="15"/>
      <c r="E546" s="15"/>
    </row>
    <row r="547">
      <c r="D547" s="15"/>
      <c r="E547" s="15"/>
    </row>
    <row r="548">
      <c r="D548" s="15"/>
      <c r="E548" s="15"/>
    </row>
    <row r="549">
      <c r="D549" s="15"/>
      <c r="E549" s="15"/>
    </row>
    <row r="550">
      <c r="D550" s="15"/>
      <c r="E550" s="15"/>
    </row>
    <row r="551">
      <c r="D551" s="15"/>
      <c r="E551" s="15"/>
    </row>
    <row r="552">
      <c r="D552" s="15"/>
      <c r="E552" s="15"/>
    </row>
    <row r="553">
      <c r="D553" s="15"/>
      <c r="E553" s="15"/>
    </row>
    <row r="554">
      <c r="D554" s="15"/>
      <c r="E554" s="15"/>
    </row>
    <row r="555">
      <c r="D555" s="15"/>
      <c r="E555" s="15"/>
    </row>
    <row r="556">
      <c r="D556" s="15"/>
      <c r="E556" s="15"/>
    </row>
    <row r="557">
      <c r="D557" s="15"/>
      <c r="E557" s="15"/>
    </row>
    <row r="558">
      <c r="D558" s="15"/>
      <c r="E558" s="15"/>
    </row>
    <row r="559">
      <c r="D559" s="15"/>
      <c r="E559" s="15"/>
    </row>
    <row r="560">
      <c r="D560" s="15"/>
      <c r="E560" s="15"/>
    </row>
    <row r="561">
      <c r="D561" s="15"/>
      <c r="E561" s="15"/>
    </row>
    <row r="562">
      <c r="D562" s="15"/>
      <c r="E562" s="15"/>
    </row>
    <row r="563">
      <c r="D563" s="15"/>
      <c r="E563" s="15"/>
    </row>
    <row r="564">
      <c r="D564" s="15"/>
      <c r="E564" s="15"/>
    </row>
    <row r="565">
      <c r="D565" s="15"/>
      <c r="E565" s="15"/>
    </row>
    <row r="566">
      <c r="D566" s="15"/>
      <c r="E566" s="15"/>
    </row>
    <row r="567">
      <c r="D567" s="15"/>
      <c r="E567" s="15"/>
    </row>
    <row r="568">
      <c r="D568" s="15"/>
      <c r="E568" s="15"/>
    </row>
    <row r="569">
      <c r="D569" s="15"/>
      <c r="E569" s="15"/>
    </row>
    <row r="570">
      <c r="D570" s="15"/>
      <c r="E570" s="15"/>
    </row>
    <row r="571">
      <c r="D571" s="15"/>
      <c r="E571" s="15"/>
    </row>
    <row r="572">
      <c r="D572" s="15"/>
      <c r="E572" s="15"/>
    </row>
    <row r="573">
      <c r="D573" s="15"/>
      <c r="E573" s="15"/>
    </row>
    <row r="574">
      <c r="D574" s="15"/>
      <c r="E574" s="15"/>
    </row>
    <row r="575">
      <c r="D575" s="15"/>
      <c r="E575" s="15"/>
    </row>
    <row r="576">
      <c r="D576" s="15"/>
      <c r="E576" s="15"/>
    </row>
    <row r="577">
      <c r="D577" s="15"/>
      <c r="E577" s="15"/>
    </row>
    <row r="578">
      <c r="D578" s="15"/>
      <c r="E578" s="15"/>
    </row>
    <row r="579">
      <c r="D579" s="15"/>
      <c r="E579" s="15"/>
    </row>
    <row r="580">
      <c r="D580" s="15"/>
      <c r="E580" s="15"/>
    </row>
    <row r="581">
      <c r="D581" s="15"/>
      <c r="E581" s="15"/>
    </row>
    <row r="582">
      <c r="D582" s="15"/>
      <c r="E582" s="15"/>
    </row>
    <row r="583">
      <c r="D583" s="15"/>
      <c r="E583" s="15"/>
    </row>
    <row r="584">
      <c r="D584" s="15"/>
      <c r="E584" s="15"/>
    </row>
    <row r="585">
      <c r="D585" s="15"/>
      <c r="E585" s="15"/>
    </row>
    <row r="586">
      <c r="D586" s="15"/>
      <c r="E586" s="15"/>
    </row>
    <row r="587">
      <c r="D587" s="15"/>
      <c r="E587" s="15"/>
    </row>
    <row r="588">
      <c r="D588" s="15"/>
      <c r="E588" s="15"/>
    </row>
    <row r="589">
      <c r="D589" s="15"/>
      <c r="E589" s="15"/>
    </row>
    <row r="590">
      <c r="D590" s="15"/>
      <c r="E590" s="15"/>
    </row>
    <row r="591">
      <c r="D591" s="15"/>
      <c r="E591" s="15"/>
    </row>
    <row r="592">
      <c r="D592" s="15"/>
      <c r="E592" s="15"/>
    </row>
    <row r="593">
      <c r="D593" s="15"/>
      <c r="E593" s="15"/>
    </row>
    <row r="594">
      <c r="D594" s="15"/>
      <c r="E594" s="15"/>
    </row>
    <row r="595">
      <c r="D595" s="15"/>
      <c r="E595" s="15"/>
    </row>
    <row r="596">
      <c r="D596" s="15"/>
      <c r="E596" s="15"/>
    </row>
    <row r="597">
      <c r="D597" s="15"/>
      <c r="E597" s="15"/>
    </row>
    <row r="598">
      <c r="D598" s="15"/>
      <c r="E598" s="15"/>
    </row>
    <row r="599">
      <c r="D599" s="15"/>
      <c r="E599" s="15"/>
    </row>
    <row r="600">
      <c r="D600" s="15"/>
      <c r="E600" s="15"/>
    </row>
    <row r="601">
      <c r="D601" s="15"/>
      <c r="E601" s="15"/>
    </row>
    <row r="602">
      <c r="D602" s="15"/>
      <c r="E602" s="15"/>
    </row>
    <row r="603">
      <c r="D603" s="15"/>
      <c r="E603" s="15"/>
    </row>
    <row r="604">
      <c r="D604" s="15"/>
      <c r="E604" s="15"/>
    </row>
    <row r="605">
      <c r="D605" s="15"/>
      <c r="E605" s="15"/>
    </row>
    <row r="606">
      <c r="D606" s="15"/>
      <c r="E606" s="15"/>
    </row>
    <row r="607">
      <c r="D607" s="15"/>
      <c r="E607" s="15"/>
    </row>
    <row r="608">
      <c r="D608" s="15"/>
      <c r="E608" s="15"/>
    </row>
    <row r="609">
      <c r="D609" s="15"/>
      <c r="E609" s="15"/>
    </row>
    <row r="610">
      <c r="D610" s="15"/>
      <c r="E610" s="15"/>
    </row>
    <row r="611">
      <c r="D611" s="15"/>
      <c r="E611" s="15"/>
    </row>
    <row r="612">
      <c r="D612" s="15"/>
      <c r="E612" s="15"/>
    </row>
    <row r="613">
      <c r="D613" s="15"/>
      <c r="E613" s="15"/>
    </row>
    <row r="614">
      <c r="D614" s="15"/>
      <c r="E614" s="15"/>
    </row>
    <row r="615">
      <c r="D615" s="15"/>
      <c r="E615" s="15"/>
    </row>
    <row r="616">
      <c r="D616" s="15"/>
      <c r="E616" s="15"/>
    </row>
    <row r="617">
      <c r="D617" s="15"/>
      <c r="E617" s="15"/>
    </row>
    <row r="618">
      <c r="D618" s="15"/>
      <c r="E618" s="15"/>
    </row>
    <row r="619">
      <c r="D619" s="15"/>
      <c r="E619" s="15"/>
    </row>
    <row r="620">
      <c r="D620" s="15"/>
      <c r="E620" s="15"/>
    </row>
    <row r="621">
      <c r="D621" s="15"/>
      <c r="E621" s="15"/>
    </row>
    <row r="622">
      <c r="D622" s="15"/>
      <c r="E622" s="15"/>
    </row>
    <row r="623">
      <c r="D623" s="15"/>
      <c r="E623" s="15"/>
    </row>
    <row r="624">
      <c r="D624" s="15"/>
      <c r="E624" s="15"/>
    </row>
    <row r="625">
      <c r="D625" s="15"/>
      <c r="E625" s="15"/>
    </row>
    <row r="626">
      <c r="D626" s="15"/>
      <c r="E626" s="15"/>
    </row>
    <row r="627">
      <c r="D627" s="15"/>
      <c r="E627" s="15"/>
    </row>
    <row r="628">
      <c r="D628" s="15"/>
      <c r="E628" s="15"/>
    </row>
    <row r="629">
      <c r="D629" s="15"/>
      <c r="E629" s="15"/>
    </row>
    <row r="630">
      <c r="D630" s="15"/>
      <c r="E630" s="15"/>
    </row>
    <row r="631">
      <c r="D631" s="15"/>
      <c r="E631" s="15"/>
    </row>
    <row r="632">
      <c r="D632" s="15"/>
      <c r="E632" s="15"/>
    </row>
    <row r="633">
      <c r="D633" s="15"/>
      <c r="E633" s="15"/>
    </row>
    <row r="634">
      <c r="D634" s="15"/>
      <c r="E634" s="15"/>
    </row>
    <row r="635">
      <c r="D635" s="15"/>
      <c r="E635" s="15"/>
    </row>
    <row r="636">
      <c r="D636" s="15"/>
      <c r="E636" s="15"/>
    </row>
    <row r="637">
      <c r="D637" s="15"/>
      <c r="E637" s="15"/>
    </row>
    <row r="638">
      <c r="D638" s="15"/>
      <c r="E638" s="15"/>
    </row>
    <row r="639">
      <c r="D639" s="15"/>
      <c r="E639" s="15"/>
    </row>
    <row r="640">
      <c r="D640" s="15"/>
      <c r="E640" s="15"/>
    </row>
    <row r="641">
      <c r="D641" s="15"/>
      <c r="E641" s="15"/>
    </row>
    <row r="642">
      <c r="D642" s="15"/>
      <c r="E642" s="15"/>
    </row>
    <row r="643">
      <c r="D643" s="15"/>
      <c r="E643" s="15"/>
    </row>
    <row r="644">
      <c r="D644" s="15"/>
      <c r="E644" s="15"/>
    </row>
    <row r="645">
      <c r="D645" s="15"/>
      <c r="E645" s="15"/>
    </row>
    <row r="646">
      <c r="D646" s="15"/>
      <c r="E646" s="15"/>
    </row>
    <row r="647">
      <c r="D647" s="15"/>
      <c r="E647" s="15"/>
    </row>
    <row r="648">
      <c r="D648" s="15"/>
      <c r="E648" s="15"/>
    </row>
    <row r="649">
      <c r="D649" s="15"/>
      <c r="E649" s="15"/>
    </row>
    <row r="650">
      <c r="D650" s="15"/>
      <c r="E650" s="15"/>
    </row>
    <row r="651">
      <c r="D651" s="15"/>
      <c r="E651" s="15"/>
    </row>
    <row r="652">
      <c r="D652" s="15"/>
      <c r="E652" s="15"/>
    </row>
    <row r="653">
      <c r="D653" s="15"/>
      <c r="E653" s="15"/>
    </row>
    <row r="654">
      <c r="D654" s="15"/>
      <c r="E654" s="15"/>
    </row>
    <row r="655">
      <c r="D655" s="15"/>
      <c r="E655" s="15"/>
    </row>
    <row r="656">
      <c r="D656" s="15"/>
      <c r="E656" s="15"/>
    </row>
    <row r="657">
      <c r="D657" s="15"/>
      <c r="E657" s="15"/>
    </row>
    <row r="658">
      <c r="D658" s="15"/>
      <c r="E658" s="15"/>
    </row>
    <row r="659">
      <c r="D659" s="15"/>
      <c r="E659" s="15"/>
    </row>
    <row r="660">
      <c r="D660" s="15"/>
      <c r="E660" s="15"/>
    </row>
    <row r="661">
      <c r="D661" s="15"/>
      <c r="E661" s="15"/>
    </row>
    <row r="662">
      <c r="D662" s="15"/>
      <c r="E662" s="15"/>
    </row>
    <row r="663">
      <c r="D663" s="15"/>
      <c r="E663" s="15"/>
    </row>
    <row r="664">
      <c r="D664" s="15"/>
      <c r="E664" s="15"/>
    </row>
    <row r="665">
      <c r="D665" s="15"/>
      <c r="E665" s="15"/>
    </row>
    <row r="666">
      <c r="D666" s="15"/>
      <c r="E666" s="15"/>
    </row>
    <row r="667">
      <c r="D667" s="15"/>
      <c r="E667" s="15"/>
    </row>
    <row r="668">
      <c r="D668" s="15"/>
      <c r="E668" s="15"/>
    </row>
    <row r="669">
      <c r="D669" s="15"/>
      <c r="E669" s="15"/>
    </row>
    <row r="670">
      <c r="D670" s="15"/>
      <c r="E670" s="15"/>
    </row>
    <row r="671">
      <c r="D671" s="15"/>
      <c r="E671" s="15"/>
    </row>
    <row r="672">
      <c r="D672" s="15"/>
      <c r="E672" s="15"/>
    </row>
    <row r="673">
      <c r="D673" s="15"/>
      <c r="E673" s="15"/>
    </row>
    <row r="674">
      <c r="D674" s="15"/>
      <c r="E674" s="15"/>
    </row>
    <row r="675">
      <c r="D675" s="15"/>
      <c r="E675" s="15"/>
    </row>
    <row r="676">
      <c r="D676" s="15"/>
      <c r="E676" s="15"/>
    </row>
    <row r="677">
      <c r="D677" s="15"/>
      <c r="E677" s="15"/>
    </row>
    <row r="678">
      <c r="D678" s="15"/>
      <c r="E678" s="15"/>
    </row>
    <row r="679">
      <c r="D679" s="15"/>
      <c r="E679" s="15"/>
    </row>
    <row r="680">
      <c r="D680" s="15"/>
      <c r="E680" s="15"/>
    </row>
    <row r="681">
      <c r="D681" s="15"/>
      <c r="E681" s="15"/>
    </row>
    <row r="682">
      <c r="D682" s="15"/>
      <c r="E682" s="15"/>
    </row>
    <row r="683">
      <c r="D683" s="15"/>
      <c r="E683" s="15"/>
    </row>
    <row r="684">
      <c r="D684" s="15"/>
      <c r="E684" s="15"/>
    </row>
    <row r="685">
      <c r="D685" s="15"/>
      <c r="E685" s="15"/>
    </row>
    <row r="686">
      <c r="D686" s="15"/>
      <c r="E686" s="15"/>
    </row>
    <row r="687">
      <c r="D687" s="15"/>
      <c r="E687" s="15"/>
    </row>
    <row r="688">
      <c r="D688" s="15"/>
      <c r="E688" s="15"/>
    </row>
    <row r="689">
      <c r="D689" s="15"/>
      <c r="E689" s="15"/>
    </row>
    <row r="690">
      <c r="D690" s="15"/>
      <c r="E690" s="15"/>
    </row>
    <row r="691">
      <c r="D691" s="15"/>
      <c r="E691" s="15"/>
    </row>
    <row r="692">
      <c r="D692" s="15"/>
      <c r="E692" s="15"/>
    </row>
    <row r="693">
      <c r="D693" s="15"/>
      <c r="E693" s="15"/>
    </row>
    <row r="694">
      <c r="D694" s="15"/>
      <c r="E694" s="15"/>
    </row>
    <row r="695">
      <c r="D695" s="15"/>
      <c r="E695" s="15"/>
    </row>
    <row r="696">
      <c r="D696" s="15"/>
      <c r="E696" s="15"/>
    </row>
    <row r="697">
      <c r="D697" s="15"/>
      <c r="E697" s="15"/>
    </row>
    <row r="698">
      <c r="D698" s="15"/>
      <c r="E698" s="15"/>
    </row>
    <row r="699">
      <c r="D699" s="15"/>
      <c r="E699" s="15"/>
    </row>
    <row r="700">
      <c r="D700" s="15"/>
      <c r="E700" s="15"/>
    </row>
    <row r="701">
      <c r="D701" s="15"/>
      <c r="E701" s="15"/>
    </row>
    <row r="702">
      <c r="D702" s="15"/>
      <c r="E702" s="15"/>
    </row>
    <row r="703">
      <c r="D703" s="15"/>
      <c r="E703" s="15"/>
    </row>
    <row r="704">
      <c r="D704" s="15"/>
      <c r="E704" s="15"/>
    </row>
    <row r="705">
      <c r="D705" s="15"/>
      <c r="E705" s="15"/>
    </row>
    <row r="706">
      <c r="D706" s="15"/>
      <c r="E706" s="15"/>
    </row>
    <row r="707">
      <c r="D707" s="15"/>
      <c r="E707" s="15"/>
    </row>
    <row r="708">
      <c r="D708" s="15"/>
      <c r="E708" s="15"/>
    </row>
    <row r="709">
      <c r="D709" s="15"/>
      <c r="E709" s="15"/>
    </row>
    <row r="710">
      <c r="D710" s="15"/>
      <c r="E710" s="15"/>
    </row>
    <row r="711">
      <c r="D711" s="15"/>
      <c r="E711" s="15"/>
    </row>
    <row r="712">
      <c r="D712" s="15"/>
      <c r="E712" s="15"/>
    </row>
    <row r="713">
      <c r="D713" s="15"/>
      <c r="E713" s="15"/>
    </row>
    <row r="714">
      <c r="D714" s="15"/>
      <c r="E714" s="15"/>
    </row>
    <row r="715">
      <c r="D715" s="15"/>
      <c r="E715" s="15"/>
    </row>
    <row r="716">
      <c r="D716" s="15"/>
      <c r="E716" s="15"/>
    </row>
    <row r="717">
      <c r="D717" s="15"/>
      <c r="E717" s="15"/>
    </row>
    <row r="718">
      <c r="D718" s="15"/>
      <c r="E718" s="15"/>
    </row>
    <row r="719">
      <c r="D719" s="15"/>
      <c r="E719" s="15"/>
    </row>
    <row r="720">
      <c r="D720" s="15"/>
      <c r="E720" s="15"/>
    </row>
    <row r="721">
      <c r="D721" s="15"/>
      <c r="E721" s="15"/>
    </row>
    <row r="722">
      <c r="D722" s="15"/>
      <c r="E722" s="15"/>
    </row>
    <row r="723">
      <c r="D723" s="15"/>
      <c r="E723" s="15"/>
    </row>
    <row r="724">
      <c r="D724" s="15"/>
      <c r="E724" s="15"/>
    </row>
    <row r="725">
      <c r="D725" s="15"/>
      <c r="E725" s="15"/>
    </row>
    <row r="726">
      <c r="D726" s="15"/>
      <c r="E726" s="15"/>
    </row>
    <row r="727">
      <c r="D727" s="15"/>
      <c r="E727" s="15"/>
    </row>
    <row r="728">
      <c r="D728" s="15"/>
      <c r="E728" s="15"/>
    </row>
    <row r="729">
      <c r="D729" s="15"/>
      <c r="E729" s="15"/>
    </row>
    <row r="730">
      <c r="D730" s="15"/>
      <c r="E730" s="15"/>
    </row>
    <row r="731">
      <c r="D731" s="15"/>
      <c r="E731" s="15"/>
    </row>
    <row r="732">
      <c r="D732" s="15"/>
      <c r="E732" s="15"/>
    </row>
    <row r="733">
      <c r="D733" s="15"/>
      <c r="E733" s="15"/>
    </row>
    <row r="734">
      <c r="D734" s="15"/>
      <c r="E734" s="15"/>
    </row>
    <row r="735">
      <c r="D735" s="15"/>
      <c r="E735" s="15"/>
    </row>
    <row r="736">
      <c r="D736" s="15"/>
      <c r="E736" s="15"/>
    </row>
    <row r="737">
      <c r="D737" s="15"/>
      <c r="E737" s="15"/>
    </row>
    <row r="738">
      <c r="D738" s="15"/>
      <c r="E738" s="15"/>
    </row>
    <row r="739">
      <c r="D739" s="15"/>
      <c r="E739" s="15"/>
    </row>
    <row r="740">
      <c r="D740" s="15"/>
      <c r="E740" s="15"/>
    </row>
    <row r="741">
      <c r="D741" s="15"/>
      <c r="E741" s="15"/>
    </row>
    <row r="742">
      <c r="D742" s="15"/>
      <c r="E742" s="15"/>
    </row>
    <row r="743">
      <c r="D743" s="15"/>
      <c r="E743" s="15"/>
    </row>
    <row r="744">
      <c r="D744" s="15"/>
      <c r="E744" s="15"/>
    </row>
    <row r="745">
      <c r="D745" s="15"/>
      <c r="E745" s="15"/>
    </row>
    <row r="746">
      <c r="D746" s="15"/>
      <c r="E746" s="15"/>
    </row>
    <row r="747">
      <c r="D747" s="15"/>
      <c r="E747" s="15"/>
    </row>
    <row r="748">
      <c r="D748" s="15"/>
      <c r="E748" s="15"/>
    </row>
    <row r="749">
      <c r="D749" s="15"/>
      <c r="E749" s="15"/>
    </row>
    <row r="750">
      <c r="D750" s="15"/>
      <c r="E750" s="15"/>
    </row>
    <row r="751">
      <c r="D751" s="15"/>
      <c r="E751" s="15"/>
    </row>
    <row r="752">
      <c r="D752" s="15"/>
      <c r="E752" s="15"/>
    </row>
    <row r="753">
      <c r="D753" s="15"/>
      <c r="E753" s="15"/>
    </row>
    <row r="754">
      <c r="D754" s="15"/>
      <c r="E754" s="15"/>
    </row>
    <row r="755">
      <c r="D755" s="15"/>
      <c r="E755" s="15"/>
    </row>
    <row r="756">
      <c r="D756" s="15"/>
      <c r="E756" s="15"/>
    </row>
    <row r="757">
      <c r="D757" s="15"/>
      <c r="E757" s="15"/>
    </row>
    <row r="758">
      <c r="D758" s="15"/>
      <c r="E758" s="15"/>
    </row>
    <row r="759">
      <c r="D759" s="15"/>
      <c r="E759" s="15"/>
    </row>
    <row r="760">
      <c r="D760" s="15"/>
      <c r="E760" s="15"/>
    </row>
    <row r="761">
      <c r="D761" s="15"/>
      <c r="E761" s="15"/>
    </row>
    <row r="762">
      <c r="D762" s="15"/>
      <c r="E762" s="15"/>
    </row>
    <row r="763">
      <c r="D763" s="15"/>
      <c r="E763" s="15"/>
    </row>
    <row r="764">
      <c r="D764" s="15"/>
      <c r="E764" s="15"/>
    </row>
    <row r="765">
      <c r="D765" s="15"/>
      <c r="E765" s="15"/>
    </row>
    <row r="766">
      <c r="D766" s="15"/>
      <c r="E766" s="15"/>
    </row>
    <row r="767">
      <c r="D767" s="15"/>
      <c r="E767" s="15"/>
    </row>
    <row r="768">
      <c r="D768" s="15"/>
      <c r="E768" s="15"/>
    </row>
    <row r="769">
      <c r="D769" s="15"/>
      <c r="E769" s="15"/>
    </row>
    <row r="770">
      <c r="D770" s="15"/>
      <c r="E770" s="15"/>
    </row>
    <row r="771">
      <c r="D771" s="15"/>
      <c r="E771" s="15"/>
    </row>
    <row r="772">
      <c r="D772" s="15"/>
      <c r="E772" s="15"/>
    </row>
    <row r="773">
      <c r="D773" s="15"/>
      <c r="E773" s="15"/>
    </row>
    <row r="774">
      <c r="D774" s="15"/>
      <c r="E774" s="15"/>
    </row>
    <row r="775">
      <c r="D775" s="15"/>
      <c r="E775" s="15"/>
    </row>
    <row r="776">
      <c r="D776" s="15"/>
      <c r="E776" s="15"/>
    </row>
    <row r="777">
      <c r="D777" s="15"/>
      <c r="E777" s="15"/>
    </row>
    <row r="778">
      <c r="D778" s="15"/>
      <c r="E778" s="15"/>
    </row>
    <row r="779">
      <c r="D779" s="15"/>
      <c r="E779" s="15"/>
    </row>
    <row r="780">
      <c r="D780" s="15"/>
      <c r="E780" s="15"/>
    </row>
    <row r="781">
      <c r="D781" s="15"/>
      <c r="E781" s="15"/>
    </row>
    <row r="782">
      <c r="D782" s="15"/>
      <c r="E782" s="15"/>
    </row>
    <row r="783">
      <c r="D783" s="15"/>
      <c r="E783" s="15"/>
    </row>
    <row r="784">
      <c r="D784" s="15"/>
      <c r="E784" s="15"/>
    </row>
    <row r="785">
      <c r="D785" s="15"/>
      <c r="E785" s="15"/>
    </row>
    <row r="786">
      <c r="D786" s="15"/>
      <c r="E786" s="15"/>
    </row>
    <row r="787">
      <c r="D787" s="15"/>
      <c r="E787" s="15"/>
    </row>
    <row r="788">
      <c r="D788" s="15"/>
      <c r="E788" s="15"/>
    </row>
    <row r="789">
      <c r="D789" s="15"/>
      <c r="E789" s="15"/>
    </row>
    <row r="790">
      <c r="D790" s="15"/>
      <c r="E790" s="15"/>
    </row>
    <row r="791">
      <c r="D791" s="15"/>
      <c r="E791" s="15"/>
    </row>
    <row r="792">
      <c r="D792" s="15"/>
      <c r="E792" s="15"/>
    </row>
    <row r="793">
      <c r="D793" s="15"/>
      <c r="E793" s="15"/>
    </row>
    <row r="794">
      <c r="D794" s="15"/>
      <c r="E794" s="15"/>
    </row>
    <row r="795">
      <c r="D795" s="15"/>
      <c r="E795" s="15"/>
    </row>
    <row r="796">
      <c r="D796" s="15"/>
      <c r="E796" s="15"/>
    </row>
    <row r="797">
      <c r="D797" s="15"/>
      <c r="E797" s="15"/>
    </row>
    <row r="798">
      <c r="D798" s="15"/>
      <c r="E798" s="15"/>
    </row>
    <row r="799">
      <c r="D799" s="15"/>
      <c r="E799" s="15"/>
    </row>
    <row r="800">
      <c r="D800" s="15"/>
      <c r="E800" s="15"/>
    </row>
    <row r="801">
      <c r="D801" s="15"/>
      <c r="E801" s="15"/>
    </row>
    <row r="802">
      <c r="D802" s="15"/>
      <c r="E802" s="15"/>
    </row>
    <row r="803">
      <c r="D803" s="15"/>
      <c r="E803" s="15"/>
    </row>
    <row r="804">
      <c r="D804" s="15"/>
      <c r="E804" s="15"/>
    </row>
    <row r="805">
      <c r="D805" s="15"/>
      <c r="E805" s="15"/>
    </row>
    <row r="806">
      <c r="D806" s="15"/>
      <c r="E806" s="15"/>
    </row>
    <row r="807">
      <c r="D807" s="15"/>
      <c r="E807" s="15"/>
    </row>
    <row r="808">
      <c r="D808" s="15"/>
      <c r="E808" s="15"/>
    </row>
    <row r="809">
      <c r="D809" s="15"/>
      <c r="E809" s="15"/>
    </row>
    <row r="810">
      <c r="D810" s="15"/>
      <c r="E810" s="15"/>
    </row>
    <row r="811">
      <c r="D811" s="15"/>
      <c r="E811" s="15"/>
    </row>
    <row r="812">
      <c r="D812" s="15"/>
      <c r="E812" s="15"/>
    </row>
    <row r="813">
      <c r="D813" s="15"/>
      <c r="E813" s="15"/>
    </row>
    <row r="814">
      <c r="D814" s="15"/>
      <c r="E814" s="15"/>
    </row>
    <row r="815">
      <c r="D815" s="15"/>
      <c r="E815" s="15"/>
    </row>
    <row r="816">
      <c r="D816" s="15"/>
      <c r="E816" s="15"/>
    </row>
    <row r="817">
      <c r="D817" s="15"/>
      <c r="E817" s="15"/>
    </row>
    <row r="818">
      <c r="D818" s="15"/>
      <c r="E818" s="15"/>
    </row>
    <row r="819">
      <c r="D819" s="15"/>
      <c r="E819" s="15"/>
    </row>
    <row r="820">
      <c r="D820" s="15"/>
      <c r="E820" s="15"/>
    </row>
    <row r="821">
      <c r="D821" s="15"/>
      <c r="E821" s="15"/>
    </row>
    <row r="822">
      <c r="D822" s="15"/>
      <c r="E822" s="15"/>
    </row>
    <row r="823">
      <c r="D823" s="15"/>
      <c r="E823" s="15"/>
    </row>
    <row r="824">
      <c r="D824" s="15"/>
      <c r="E824" s="15"/>
    </row>
    <row r="825">
      <c r="D825" s="15"/>
      <c r="E825" s="15"/>
    </row>
    <row r="826">
      <c r="D826" s="15"/>
      <c r="E826" s="15"/>
    </row>
    <row r="827">
      <c r="D827" s="15"/>
      <c r="E827" s="15"/>
    </row>
    <row r="828">
      <c r="D828" s="15"/>
      <c r="E828" s="15"/>
    </row>
    <row r="829">
      <c r="D829" s="15"/>
      <c r="E829" s="15"/>
    </row>
    <row r="830">
      <c r="D830" s="15"/>
      <c r="E830" s="15"/>
    </row>
    <row r="831">
      <c r="D831" s="15"/>
      <c r="E831" s="15"/>
    </row>
    <row r="832">
      <c r="D832" s="15"/>
      <c r="E832" s="15"/>
    </row>
    <row r="833">
      <c r="D833" s="15"/>
      <c r="E833" s="15"/>
    </row>
    <row r="834">
      <c r="D834" s="15"/>
      <c r="E834" s="15"/>
    </row>
    <row r="835">
      <c r="D835" s="15"/>
      <c r="E835" s="15"/>
    </row>
    <row r="836">
      <c r="D836" s="15"/>
      <c r="E836" s="15"/>
    </row>
    <row r="837">
      <c r="D837" s="15"/>
      <c r="E837" s="15"/>
    </row>
    <row r="838">
      <c r="D838" s="15"/>
      <c r="E838" s="15"/>
    </row>
    <row r="839">
      <c r="D839" s="15"/>
      <c r="E839" s="15"/>
    </row>
    <row r="840">
      <c r="D840" s="15"/>
      <c r="E840" s="15"/>
    </row>
    <row r="841">
      <c r="D841" s="15"/>
      <c r="E841" s="15"/>
    </row>
    <row r="842">
      <c r="D842" s="15"/>
      <c r="E842" s="15"/>
    </row>
    <row r="843">
      <c r="D843" s="15"/>
      <c r="E843" s="15"/>
    </row>
    <row r="844">
      <c r="D844" s="15"/>
      <c r="E844" s="15"/>
    </row>
    <row r="845">
      <c r="D845" s="15"/>
      <c r="E845" s="15"/>
    </row>
    <row r="846">
      <c r="D846" s="15"/>
      <c r="E846" s="15"/>
    </row>
    <row r="847">
      <c r="D847" s="15"/>
      <c r="E847" s="15"/>
    </row>
    <row r="848">
      <c r="D848" s="15"/>
      <c r="E848" s="15"/>
    </row>
    <row r="849">
      <c r="D849" s="15"/>
      <c r="E849" s="15"/>
    </row>
    <row r="850">
      <c r="D850" s="15"/>
      <c r="E850" s="15"/>
    </row>
    <row r="851">
      <c r="D851" s="15"/>
      <c r="E851" s="15"/>
    </row>
    <row r="852">
      <c r="D852" s="15"/>
      <c r="E852" s="15"/>
    </row>
    <row r="853">
      <c r="D853" s="15"/>
      <c r="E853" s="15"/>
    </row>
    <row r="854">
      <c r="D854" s="15"/>
      <c r="E854" s="15"/>
    </row>
    <row r="855">
      <c r="D855" s="15"/>
      <c r="E855" s="15"/>
    </row>
    <row r="856">
      <c r="D856" s="15"/>
      <c r="E856" s="15"/>
    </row>
    <row r="857">
      <c r="D857" s="15"/>
      <c r="E857" s="15"/>
    </row>
    <row r="858">
      <c r="D858" s="15"/>
      <c r="E858" s="15"/>
    </row>
    <row r="859">
      <c r="D859" s="15"/>
      <c r="E859" s="15"/>
    </row>
    <row r="860">
      <c r="D860" s="15"/>
      <c r="E860" s="15"/>
    </row>
    <row r="861">
      <c r="D861" s="15"/>
      <c r="E861" s="15"/>
    </row>
    <row r="862">
      <c r="D862" s="15"/>
      <c r="E862" s="15"/>
    </row>
    <row r="863">
      <c r="D863" s="15"/>
      <c r="E863" s="15"/>
    </row>
    <row r="864">
      <c r="D864" s="15"/>
      <c r="E864" s="15"/>
    </row>
    <row r="865">
      <c r="D865" s="15"/>
      <c r="E865" s="15"/>
    </row>
    <row r="866">
      <c r="D866" s="15"/>
      <c r="E866" s="15"/>
    </row>
    <row r="867">
      <c r="D867" s="15"/>
      <c r="E867" s="15"/>
    </row>
    <row r="868">
      <c r="D868" s="15"/>
      <c r="E868" s="15"/>
    </row>
    <row r="869">
      <c r="D869" s="15"/>
      <c r="E869" s="15"/>
    </row>
    <row r="870">
      <c r="D870" s="15"/>
      <c r="E870" s="15"/>
    </row>
    <row r="871">
      <c r="D871" s="15"/>
      <c r="E871" s="15"/>
    </row>
    <row r="872">
      <c r="D872" s="15"/>
      <c r="E872" s="15"/>
    </row>
    <row r="873">
      <c r="D873" s="15"/>
      <c r="E873" s="15"/>
    </row>
    <row r="874">
      <c r="D874" s="15"/>
      <c r="E874" s="15"/>
    </row>
    <row r="875">
      <c r="D875" s="15"/>
      <c r="E875" s="15"/>
    </row>
    <row r="876">
      <c r="D876" s="15"/>
      <c r="E876" s="15"/>
    </row>
    <row r="877">
      <c r="D877" s="15"/>
      <c r="E877" s="15"/>
    </row>
    <row r="878">
      <c r="D878" s="15"/>
      <c r="E878" s="15"/>
    </row>
    <row r="879">
      <c r="D879" s="15"/>
      <c r="E879" s="15"/>
    </row>
    <row r="880">
      <c r="D880" s="15"/>
      <c r="E880" s="15"/>
    </row>
    <row r="881">
      <c r="D881" s="15"/>
      <c r="E881" s="15"/>
    </row>
    <row r="882">
      <c r="D882" s="15"/>
      <c r="E882" s="15"/>
    </row>
    <row r="883">
      <c r="D883" s="15"/>
      <c r="E883" s="15"/>
    </row>
    <row r="884">
      <c r="D884" s="15"/>
      <c r="E884" s="15"/>
    </row>
    <row r="885">
      <c r="D885" s="15"/>
      <c r="E885" s="15"/>
    </row>
    <row r="886">
      <c r="D886" s="15"/>
      <c r="E886" s="15"/>
    </row>
    <row r="887">
      <c r="D887" s="15"/>
      <c r="E887" s="15"/>
    </row>
    <row r="888">
      <c r="D888" s="15"/>
      <c r="E888" s="15"/>
    </row>
    <row r="889">
      <c r="D889" s="15"/>
      <c r="E889" s="15"/>
    </row>
    <row r="890">
      <c r="D890" s="15"/>
      <c r="E890" s="15"/>
    </row>
    <row r="891">
      <c r="D891" s="15"/>
      <c r="E891" s="15"/>
    </row>
    <row r="892">
      <c r="D892" s="15"/>
      <c r="E892" s="15"/>
    </row>
    <row r="893">
      <c r="D893" s="15"/>
      <c r="E893" s="15"/>
    </row>
    <row r="894">
      <c r="D894" s="15"/>
      <c r="E894" s="15"/>
    </row>
    <row r="895">
      <c r="D895" s="15"/>
      <c r="E895" s="15"/>
    </row>
    <row r="896">
      <c r="D896" s="15"/>
      <c r="E896" s="15"/>
    </row>
    <row r="897">
      <c r="D897" s="15"/>
      <c r="E897" s="15"/>
    </row>
    <row r="898">
      <c r="D898" s="15"/>
      <c r="E898" s="15"/>
    </row>
    <row r="899">
      <c r="D899" s="15"/>
      <c r="E899" s="15"/>
    </row>
    <row r="900">
      <c r="D900" s="15"/>
      <c r="E900" s="15"/>
    </row>
    <row r="901">
      <c r="D901" s="15"/>
      <c r="E901" s="15"/>
    </row>
    <row r="902">
      <c r="D902" s="15"/>
      <c r="E902" s="15"/>
    </row>
    <row r="903">
      <c r="D903" s="15"/>
      <c r="E903" s="15"/>
    </row>
    <row r="904">
      <c r="D904" s="15"/>
      <c r="E904" s="15"/>
    </row>
    <row r="905">
      <c r="D905" s="15"/>
      <c r="E905" s="15"/>
    </row>
    <row r="906">
      <c r="D906" s="15"/>
      <c r="E906" s="15"/>
    </row>
    <row r="907">
      <c r="D907" s="15"/>
      <c r="E907" s="15"/>
    </row>
    <row r="908">
      <c r="D908" s="15"/>
      <c r="E908" s="15"/>
    </row>
    <row r="909">
      <c r="D909" s="15"/>
      <c r="E909" s="15"/>
    </row>
    <row r="910">
      <c r="D910" s="15"/>
      <c r="E910" s="15"/>
    </row>
    <row r="911">
      <c r="D911" s="15"/>
      <c r="E911" s="15"/>
    </row>
    <row r="912">
      <c r="D912" s="15"/>
      <c r="E912" s="15"/>
    </row>
    <row r="913">
      <c r="D913" s="15"/>
      <c r="E913" s="15"/>
    </row>
    <row r="914">
      <c r="D914" s="15"/>
      <c r="E914" s="15"/>
    </row>
    <row r="915">
      <c r="D915" s="15"/>
      <c r="E915" s="15"/>
    </row>
    <row r="916">
      <c r="D916" s="15"/>
      <c r="E916" s="15"/>
    </row>
    <row r="917">
      <c r="D917" s="15"/>
      <c r="E917" s="15"/>
    </row>
    <row r="918">
      <c r="D918" s="15"/>
      <c r="E918" s="15"/>
    </row>
    <row r="919">
      <c r="D919" s="15"/>
      <c r="E919" s="15"/>
    </row>
    <row r="920">
      <c r="D920" s="15"/>
      <c r="E920" s="15"/>
    </row>
    <row r="921">
      <c r="D921" s="15"/>
      <c r="E921" s="15"/>
    </row>
    <row r="922">
      <c r="D922" s="15"/>
      <c r="E922" s="15"/>
    </row>
    <row r="923">
      <c r="D923" s="15"/>
      <c r="E923" s="15"/>
    </row>
    <row r="924">
      <c r="D924" s="15"/>
      <c r="E924" s="15"/>
    </row>
    <row r="925">
      <c r="D925" s="15"/>
      <c r="E925" s="15"/>
    </row>
    <row r="926">
      <c r="D926" s="15"/>
      <c r="E926" s="15"/>
    </row>
    <row r="927">
      <c r="D927" s="15"/>
      <c r="E927" s="15"/>
    </row>
    <row r="928">
      <c r="D928" s="15"/>
      <c r="E928" s="15"/>
    </row>
    <row r="929">
      <c r="D929" s="15"/>
      <c r="E929" s="15"/>
    </row>
    <row r="930">
      <c r="D930" s="15"/>
      <c r="E930" s="15"/>
    </row>
    <row r="931">
      <c r="D931" s="15"/>
      <c r="E931" s="15"/>
    </row>
    <row r="932">
      <c r="D932" s="15"/>
      <c r="E932" s="15"/>
    </row>
    <row r="933">
      <c r="D933" s="15"/>
      <c r="E933" s="15"/>
    </row>
    <row r="934">
      <c r="D934" s="15"/>
      <c r="E934" s="15"/>
    </row>
    <row r="935">
      <c r="D935" s="15"/>
      <c r="E935" s="15"/>
    </row>
    <row r="936">
      <c r="D936" s="15"/>
      <c r="E936" s="15"/>
    </row>
    <row r="937">
      <c r="D937" s="15"/>
      <c r="E937" s="15"/>
    </row>
    <row r="938">
      <c r="D938" s="15"/>
      <c r="E938" s="15"/>
    </row>
    <row r="939">
      <c r="D939" s="15"/>
      <c r="E939" s="15"/>
    </row>
    <row r="940">
      <c r="D940" s="15"/>
      <c r="E940" s="15"/>
    </row>
    <row r="941">
      <c r="D941" s="15"/>
      <c r="E941" s="15"/>
    </row>
    <row r="942">
      <c r="D942" s="15"/>
      <c r="E942" s="15"/>
    </row>
    <row r="943">
      <c r="D943" s="15"/>
      <c r="E943" s="15"/>
    </row>
    <row r="944">
      <c r="D944" s="15"/>
      <c r="E944" s="15"/>
    </row>
    <row r="945">
      <c r="D945" s="15"/>
      <c r="E945" s="15"/>
    </row>
    <row r="946">
      <c r="D946" s="15"/>
      <c r="E946" s="15"/>
    </row>
    <row r="947">
      <c r="D947" s="15"/>
      <c r="E947" s="15"/>
    </row>
    <row r="948">
      <c r="D948" s="15"/>
      <c r="E948" s="15"/>
    </row>
    <row r="949">
      <c r="D949" s="15"/>
      <c r="E949" s="15"/>
    </row>
    <row r="950">
      <c r="D950" s="15"/>
      <c r="E950" s="15"/>
    </row>
    <row r="951">
      <c r="D951" s="15"/>
      <c r="E951" s="15"/>
    </row>
    <row r="952">
      <c r="D952" s="15"/>
      <c r="E952" s="15"/>
    </row>
    <row r="953">
      <c r="D953" s="15"/>
      <c r="E953" s="15"/>
    </row>
    <row r="954">
      <c r="D954" s="15"/>
      <c r="E954" s="15"/>
    </row>
    <row r="955">
      <c r="D955" s="15"/>
      <c r="E955" s="15"/>
    </row>
    <row r="956">
      <c r="D956" s="15"/>
      <c r="E956" s="15"/>
    </row>
    <row r="957">
      <c r="D957" s="15"/>
      <c r="E957" s="15"/>
    </row>
    <row r="958">
      <c r="D958" s="15"/>
      <c r="E958" s="15"/>
    </row>
    <row r="959">
      <c r="D959" s="15"/>
      <c r="E959" s="15"/>
    </row>
    <row r="960">
      <c r="D960" s="15"/>
      <c r="E960" s="15"/>
    </row>
    <row r="961">
      <c r="D961" s="15"/>
      <c r="E961" s="15"/>
    </row>
    <row r="962">
      <c r="D962" s="15"/>
      <c r="E962" s="15"/>
    </row>
    <row r="963">
      <c r="D963" s="15"/>
      <c r="E963" s="15"/>
    </row>
    <row r="964">
      <c r="D964" s="15"/>
      <c r="E964" s="15"/>
    </row>
    <row r="965">
      <c r="D965" s="15"/>
      <c r="E965" s="15"/>
    </row>
    <row r="966">
      <c r="D966" s="15"/>
      <c r="E966" s="15"/>
    </row>
    <row r="967">
      <c r="D967" s="15"/>
      <c r="E967" s="15"/>
    </row>
    <row r="968">
      <c r="D968" s="15"/>
      <c r="E968" s="15"/>
    </row>
    <row r="969">
      <c r="D969" s="15"/>
      <c r="E969" s="15"/>
    </row>
    <row r="970">
      <c r="D970" s="15"/>
      <c r="E970" s="15"/>
    </row>
    <row r="971">
      <c r="D971" s="15"/>
      <c r="E971" s="15"/>
    </row>
    <row r="972">
      <c r="D972" s="15"/>
      <c r="E972" s="15"/>
    </row>
    <row r="973">
      <c r="D973" s="15"/>
      <c r="E973" s="15"/>
    </row>
    <row r="974">
      <c r="D974" s="15"/>
      <c r="E974" s="15"/>
    </row>
    <row r="975">
      <c r="D975" s="15"/>
      <c r="E975" s="15"/>
    </row>
    <row r="976">
      <c r="D976" s="15"/>
      <c r="E976" s="15"/>
    </row>
    <row r="977">
      <c r="D977" s="15"/>
      <c r="E977" s="15"/>
    </row>
    <row r="978">
      <c r="D978" s="15"/>
      <c r="E978" s="15"/>
    </row>
    <row r="979">
      <c r="D979" s="15"/>
      <c r="E979" s="15"/>
    </row>
    <row r="980">
      <c r="D980" s="15"/>
      <c r="E980" s="15"/>
    </row>
    <row r="981">
      <c r="D981" s="15"/>
      <c r="E981" s="15"/>
    </row>
    <row r="982">
      <c r="D982" s="15"/>
      <c r="E982" s="15"/>
    </row>
    <row r="983">
      <c r="D983" s="15"/>
      <c r="E983" s="15"/>
    </row>
    <row r="984">
      <c r="D984" s="15"/>
      <c r="E984" s="15"/>
    </row>
    <row r="985">
      <c r="D985" s="15"/>
      <c r="E985" s="15"/>
    </row>
    <row r="986">
      <c r="D986" s="15"/>
      <c r="E986" s="15"/>
    </row>
    <row r="987">
      <c r="D987" s="15"/>
      <c r="E987" s="15"/>
    </row>
    <row r="988">
      <c r="D988" s="15"/>
      <c r="E988" s="15"/>
    </row>
    <row r="989">
      <c r="D989" s="15"/>
      <c r="E989" s="15"/>
    </row>
    <row r="990">
      <c r="D990" s="15"/>
      <c r="E990" s="15"/>
    </row>
    <row r="991">
      <c r="D991" s="15"/>
      <c r="E991" s="15"/>
    </row>
    <row r="992">
      <c r="D992" s="15"/>
      <c r="E992" s="15"/>
    </row>
    <row r="993">
      <c r="D993" s="15"/>
      <c r="E993" s="15"/>
    </row>
    <row r="994">
      <c r="D994" s="15"/>
      <c r="E994" s="15"/>
    </row>
    <row r="995">
      <c r="D995" s="15"/>
      <c r="E995" s="15"/>
    </row>
    <row r="996">
      <c r="D996" s="15"/>
      <c r="E996" s="15"/>
    </row>
    <row r="997">
      <c r="D997" s="15"/>
      <c r="E997" s="15"/>
    </row>
    <row r="998">
      <c r="D998" s="15"/>
      <c r="E998" s="15"/>
    </row>
    <row r="999">
      <c r="D999" s="15"/>
      <c r="E999" s="15"/>
    </row>
    <row r="1000">
      <c r="D1000" s="15"/>
      <c r="E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25"/>
  </cols>
  <sheetData>
    <row r="2"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>
      <c r="B3" s="49">
        <v>46235.0</v>
      </c>
      <c r="C3" s="50" t="s">
        <v>92</v>
      </c>
      <c r="D3" s="51">
        <v>39.95</v>
      </c>
      <c r="E3" s="51">
        <v>0.0</v>
      </c>
      <c r="F3" s="3" t="s">
        <v>93</v>
      </c>
      <c r="G3" s="52" t="s">
        <v>94</v>
      </c>
    </row>
    <row r="4">
      <c r="B4" s="49">
        <v>46236.0</v>
      </c>
      <c r="C4" s="3" t="s">
        <v>95</v>
      </c>
      <c r="D4" s="51">
        <v>54.99</v>
      </c>
      <c r="E4" s="51">
        <v>3.95</v>
      </c>
      <c r="F4" s="3" t="s">
        <v>96</v>
      </c>
      <c r="G4" s="52" t="s">
        <v>97</v>
      </c>
    </row>
    <row r="5">
      <c r="B5" s="49">
        <v>46237.0</v>
      </c>
      <c r="C5" s="3" t="s">
        <v>98</v>
      </c>
      <c r="D5" s="51">
        <v>44.95</v>
      </c>
      <c r="E5" s="51">
        <v>0.0</v>
      </c>
      <c r="F5" s="3" t="s">
        <v>99</v>
      </c>
      <c r="G5" s="52" t="s">
        <v>100</v>
      </c>
    </row>
    <row r="6">
      <c r="B6" s="49">
        <v>46238.0</v>
      </c>
      <c r="C6" s="3" t="s">
        <v>101</v>
      </c>
      <c r="D6" s="51">
        <v>41.99</v>
      </c>
      <c r="E6" s="51">
        <v>0.0</v>
      </c>
      <c r="F6" s="3" t="s">
        <v>93</v>
      </c>
      <c r="G6" s="52" t="s">
        <v>102</v>
      </c>
    </row>
    <row r="7">
      <c r="B7" s="49">
        <v>46239.0</v>
      </c>
      <c r="C7" s="3" t="s">
        <v>103</v>
      </c>
      <c r="D7" s="51">
        <v>37.1</v>
      </c>
      <c r="E7" s="51">
        <v>0.0</v>
      </c>
      <c r="F7" s="3" t="s">
        <v>93</v>
      </c>
      <c r="G7" s="53" t="s">
        <v>104</v>
      </c>
    </row>
    <row r="8">
      <c r="B8" s="49">
        <v>46240.0</v>
      </c>
      <c r="C8" s="3" t="s">
        <v>105</v>
      </c>
      <c r="D8" s="51">
        <v>37.31</v>
      </c>
      <c r="E8" s="51">
        <v>0.0</v>
      </c>
      <c r="F8" s="3" t="s">
        <v>93</v>
      </c>
      <c r="G8" s="52" t="s">
        <v>106</v>
      </c>
    </row>
    <row r="9">
      <c r="B9" s="49">
        <v>46241.0</v>
      </c>
      <c r="C9" s="3" t="s">
        <v>101</v>
      </c>
      <c r="D9" s="51">
        <v>34.49</v>
      </c>
      <c r="E9" s="51">
        <v>0.0</v>
      </c>
      <c r="F9" s="3" t="s">
        <v>93</v>
      </c>
      <c r="G9" s="53" t="s">
        <v>107</v>
      </c>
    </row>
    <row r="10">
      <c r="B10" s="49">
        <v>46242.0</v>
      </c>
      <c r="C10" s="3" t="s">
        <v>101</v>
      </c>
      <c r="D10" s="51">
        <v>36.99</v>
      </c>
      <c r="E10" s="51">
        <v>0.0</v>
      </c>
      <c r="F10" s="3" t="s">
        <v>93</v>
      </c>
      <c r="G10" s="53" t="s">
        <v>108</v>
      </c>
    </row>
    <row r="11">
      <c r="B11" s="49">
        <v>46243.0</v>
      </c>
      <c r="C11" s="3" t="s">
        <v>109</v>
      </c>
      <c r="D11" s="51">
        <v>44.99</v>
      </c>
      <c r="E11" s="51">
        <v>0.0</v>
      </c>
      <c r="F11" s="3" t="s">
        <v>93</v>
      </c>
      <c r="G11" s="52" t="s">
        <v>110</v>
      </c>
    </row>
    <row r="14">
      <c r="B14" s="3" t="s">
        <v>111</v>
      </c>
    </row>
    <row r="15">
      <c r="B15" s="3" t="s">
        <v>112</v>
      </c>
    </row>
  </sheetData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2">
      <c r="B2" s="3" t="s">
        <v>113</v>
      </c>
      <c r="C2" s="3" t="s">
        <v>114</v>
      </c>
      <c r="D2" s="3" t="s">
        <v>115</v>
      </c>
    </row>
    <row r="3">
      <c r="B3" s="3" t="s">
        <v>116</v>
      </c>
      <c r="C3" s="51">
        <v>41.42</v>
      </c>
      <c r="D3" s="51">
        <v>41.42</v>
      </c>
    </row>
    <row r="4">
      <c r="B4" s="3" t="s">
        <v>117</v>
      </c>
      <c r="C4" s="54">
        <v>0.1</v>
      </c>
      <c r="D4" s="54">
        <v>0.13</v>
      </c>
    </row>
    <row r="5">
      <c r="B5" s="3" t="s">
        <v>118</v>
      </c>
      <c r="C5" s="51">
        <v>0.0</v>
      </c>
      <c r="D5" s="51">
        <v>0.44</v>
      </c>
    </row>
    <row r="6">
      <c r="B6" s="3" t="s">
        <v>119</v>
      </c>
      <c r="C6" s="51">
        <v>7.5</v>
      </c>
      <c r="D6" s="51">
        <v>8.28</v>
      </c>
    </row>
    <row r="7">
      <c r="B7" s="3" t="s">
        <v>120</v>
      </c>
      <c r="C7" s="55">
        <v>14.0</v>
      </c>
      <c r="D7" s="55">
        <v>18.0</v>
      </c>
    </row>
    <row r="8">
      <c r="B8" s="3" t="s">
        <v>121</v>
      </c>
      <c r="C8" s="51">
        <v>0.3</v>
      </c>
      <c r="D8" s="51">
        <v>0.3</v>
      </c>
    </row>
    <row r="9">
      <c r="B9" s="3" t="s">
        <v>122</v>
      </c>
      <c r="C9" s="56">
        <v>37776.0</v>
      </c>
      <c r="D9" s="56">
        <v>37776.0</v>
      </c>
    </row>
    <row r="10">
      <c r="B10" s="3" t="s">
        <v>123</v>
      </c>
      <c r="C10" s="3">
        <v>1800.0</v>
      </c>
      <c r="D10" s="3">
        <v>1900.0</v>
      </c>
    </row>
    <row r="11">
      <c r="B11" s="3" t="s">
        <v>124</v>
      </c>
      <c r="C11" s="57">
        <f t="shared" ref="C11:D11" si="1">C3*(1-C4)-C5-C6</f>
        <v>29.778</v>
      </c>
      <c r="D11" s="57">
        <f t="shared" si="1"/>
        <v>27.3154</v>
      </c>
    </row>
    <row r="12">
      <c r="B12" s="3" t="s">
        <v>125</v>
      </c>
      <c r="C12" s="58">
        <f t="shared" ref="C12:D12" si="2">C9/C10+C7+C8</f>
        <v>35.28666667</v>
      </c>
      <c r="D12" s="58">
        <f t="shared" si="2"/>
        <v>38.18210526</v>
      </c>
    </row>
    <row r="13">
      <c r="B13" s="3" t="s">
        <v>126</v>
      </c>
      <c r="C13" s="57">
        <f t="shared" ref="C13:D13" si="3">C11-C12</f>
        <v>-5.508666667</v>
      </c>
      <c r="D13" s="57">
        <f t="shared" si="3"/>
        <v>-10.86670526</v>
      </c>
    </row>
    <row r="14">
      <c r="B14" s="3" t="s">
        <v>127</v>
      </c>
      <c r="C14" s="15">
        <f t="shared" ref="C14:D14" si="4">C13/C12</f>
        <v>-0.1561118458</v>
      </c>
      <c r="D14" s="15">
        <f t="shared" si="4"/>
        <v>-0.2846020456</v>
      </c>
    </row>
    <row r="15">
      <c r="B15" s="3" t="s">
        <v>128</v>
      </c>
      <c r="C15" s="59">
        <v>27860.4</v>
      </c>
      <c r="D15" s="59">
        <v>17129.26</v>
      </c>
    </row>
    <row r="16">
      <c r="B16" s="3" t="s">
        <v>129</v>
      </c>
      <c r="C16" s="36" t="str">
        <f t="shared" ref="C16:D16" si="5">IF(COUNTBLANK(C3:C10)&gt;0,"ERR — INPUT MISSING","OK")</f>
        <v>OK</v>
      </c>
      <c r="D16" s="36" t="str">
        <f t="shared" si="5"/>
        <v>OK</v>
      </c>
    </row>
    <row r="22">
      <c r="F22" s="59"/>
    </row>
    <row r="23">
      <c r="D23" s="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7.88"/>
    <col customWidth="1" min="9" max="9" width="128.25"/>
  </cols>
  <sheetData>
    <row r="1">
      <c r="A1" s="50" t="s">
        <v>130</v>
      </c>
      <c r="B1" s="50" t="s">
        <v>131</v>
      </c>
      <c r="C1" s="50" t="s">
        <v>132</v>
      </c>
      <c r="D1" s="50" t="s">
        <v>133</v>
      </c>
      <c r="E1" s="50" t="s">
        <v>134</v>
      </c>
      <c r="F1" s="50" t="s">
        <v>135</v>
      </c>
      <c r="G1" s="50" t="s">
        <v>10</v>
      </c>
      <c r="H1" s="3" t="s">
        <v>136</v>
      </c>
      <c r="I1" s="3" t="s">
        <v>3</v>
      </c>
      <c r="J1" s="3" t="s">
        <v>138</v>
      </c>
    </row>
    <row r="2">
      <c r="A2" s="50" t="s">
        <v>139</v>
      </c>
      <c r="B2" s="55">
        <v>200.0</v>
      </c>
      <c r="C2" s="55">
        <v>40.0</v>
      </c>
      <c r="D2" s="3">
        <v>10.0</v>
      </c>
      <c r="E2" s="55">
        <f t="shared" ref="E2:E9" si="1">IF(OR(NOT(ISNUMBER(B2)),NOT(ISNUMBER(C2))),"ERR",B2-C2)</f>
        <v>160</v>
      </c>
      <c r="F2" s="55">
        <f t="shared" ref="F2:F9" si="2">IF(OR(NOT(ISNUMBER(E2)),NOT(ISNUMBER(D2)),D2=0),"ERR",ROUND(E2/D2,2))</f>
        <v>16</v>
      </c>
      <c r="G2" s="3">
        <f t="shared" ref="G2:G9" si="3">IF(NOT(ISNUMBER(F2)),"ERR",RANK(F2,$F$2:$F$9,0))</f>
        <v>5</v>
      </c>
      <c r="H2" s="58">
        <f t="shared" ref="H2:H9" si="4">IF(OR(NOT(ISNUMBER(B2)),NOT(ISNUMBER(C2))),"ERR",B2-C2)</f>
        <v>160</v>
      </c>
      <c r="I2" s="3" t="s">
        <v>146</v>
      </c>
      <c r="J2" s="3" t="s">
        <v>147</v>
      </c>
    </row>
    <row r="3">
      <c r="A3" s="50" t="s">
        <v>149</v>
      </c>
      <c r="B3" s="55">
        <v>200.0</v>
      </c>
      <c r="C3" s="55">
        <v>10.0</v>
      </c>
      <c r="D3" s="3">
        <v>9.0</v>
      </c>
      <c r="E3" s="55">
        <f t="shared" si="1"/>
        <v>190</v>
      </c>
      <c r="F3" s="55">
        <f t="shared" si="2"/>
        <v>21.11</v>
      </c>
      <c r="G3" s="3">
        <f t="shared" si="3"/>
        <v>3</v>
      </c>
      <c r="H3" s="58">
        <f t="shared" si="4"/>
        <v>190</v>
      </c>
      <c r="I3" s="3" t="s">
        <v>151</v>
      </c>
      <c r="J3" s="3" t="s">
        <v>147</v>
      </c>
    </row>
    <row r="4">
      <c r="A4" s="50" t="s">
        <v>152</v>
      </c>
      <c r="B4" s="55">
        <v>300.0</v>
      </c>
      <c r="C4" s="55">
        <v>170.0</v>
      </c>
      <c r="D4" s="3">
        <v>8.0</v>
      </c>
      <c r="E4" s="55">
        <f t="shared" si="1"/>
        <v>130</v>
      </c>
      <c r="F4" s="55">
        <f t="shared" si="2"/>
        <v>16.25</v>
      </c>
      <c r="G4" s="3">
        <f t="shared" si="3"/>
        <v>4</v>
      </c>
      <c r="H4" s="58">
        <f t="shared" si="4"/>
        <v>130</v>
      </c>
      <c r="I4" s="3" t="s">
        <v>153</v>
      </c>
      <c r="J4" s="3" t="s">
        <v>147</v>
      </c>
    </row>
    <row r="5">
      <c r="A5" s="50" t="s">
        <v>154</v>
      </c>
      <c r="B5" s="55">
        <v>150.0</v>
      </c>
      <c r="C5" s="55">
        <v>15.0</v>
      </c>
      <c r="D5" s="3">
        <v>12.0</v>
      </c>
      <c r="E5" s="55">
        <f t="shared" si="1"/>
        <v>135</v>
      </c>
      <c r="F5" s="55">
        <f t="shared" si="2"/>
        <v>11.25</v>
      </c>
      <c r="G5" s="3">
        <f t="shared" si="3"/>
        <v>7</v>
      </c>
      <c r="H5" s="58">
        <f t="shared" si="4"/>
        <v>135</v>
      </c>
      <c r="I5" s="3" t="s">
        <v>159</v>
      </c>
      <c r="J5" s="3" t="s">
        <v>161</v>
      </c>
    </row>
    <row r="6">
      <c r="A6" s="50" t="s">
        <v>162</v>
      </c>
      <c r="B6" s="55">
        <v>140.0</v>
      </c>
      <c r="C6" s="55">
        <v>10.0</v>
      </c>
      <c r="D6" s="3">
        <v>10.0</v>
      </c>
      <c r="E6" s="55">
        <f t="shared" si="1"/>
        <v>130</v>
      </c>
      <c r="F6" s="55">
        <f t="shared" si="2"/>
        <v>13</v>
      </c>
      <c r="G6" s="3">
        <f t="shared" si="3"/>
        <v>6</v>
      </c>
      <c r="H6" s="58">
        <f t="shared" si="4"/>
        <v>130</v>
      </c>
      <c r="I6" s="3" t="s">
        <v>165</v>
      </c>
      <c r="J6" s="3" t="s">
        <v>161</v>
      </c>
    </row>
    <row r="7">
      <c r="A7" s="50" t="s">
        <v>166</v>
      </c>
      <c r="B7" s="55">
        <v>250.0</v>
      </c>
      <c r="C7" s="55">
        <v>20.0</v>
      </c>
      <c r="D7" s="3">
        <v>10.0</v>
      </c>
      <c r="E7" s="55">
        <f t="shared" si="1"/>
        <v>230</v>
      </c>
      <c r="F7" s="55">
        <f t="shared" si="2"/>
        <v>23</v>
      </c>
      <c r="G7" s="3">
        <f t="shared" si="3"/>
        <v>2</v>
      </c>
      <c r="H7" s="58">
        <f t="shared" si="4"/>
        <v>230</v>
      </c>
      <c r="I7" s="3" t="s">
        <v>176</v>
      </c>
      <c r="J7" s="3" t="s">
        <v>147</v>
      </c>
    </row>
    <row r="8">
      <c r="A8" s="50" t="s">
        <v>178</v>
      </c>
      <c r="B8" s="55">
        <v>120.0</v>
      </c>
      <c r="C8" s="55">
        <v>10.0</v>
      </c>
      <c r="D8" s="3">
        <v>10.0</v>
      </c>
      <c r="E8" s="55">
        <f t="shared" si="1"/>
        <v>110</v>
      </c>
      <c r="F8" s="55">
        <f t="shared" si="2"/>
        <v>11</v>
      </c>
      <c r="G8" s="3">
        <f t="shared" si="3"/>
        <v>8</v>
      </c>
      <c r="H8" s="58">
        <f t="shared" si="4"/>
        <v>110</v>
      </c>
      <c r="I8" s="3" t="s">
        <v>182</v>
      </c>
      <c r="J8" s="3" t="s">
        <v>161</v>
      </c>
    </row>
    <row r="9">
      <c r="A9" s="50" t="s">
        <v>184</v>
      </c>
      <c r="B9" s="55">
        <v>200.0</v>
      </c>
      <c r="C9" s="55">
        <v>15.0</v>
      </c>
      <c r="D9" s="3">
        <v>8.0</v>
      </c>
      <c r="E9" s="55">
        <f t="shared" si="1"/>
        <v>185</v>
      </c>
      <c r="F9" s="55">
        <f t="shared" si="2"/>
        <v>23.13</v>
      </c>
      <c r="G9" s="3">
        <f t="shared" si="3"/>
        <v>1</v>
      </c>
      <c r="H9" s="58">
        <f t="shared" si="4"/>
        <v>185</v>
      </c>
      <c r="I9" s="3" t="s">
        <v>185</v>
      </c>
      <c r="J9" s="3" t="s">
        <v>147</v>
      </c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75"/>
    <col customWidth="1" min="5" max="5" width="29.0"/>
    <col customWidth="1" min="6" max="6" width="10.5"/>
    <col customWidth="1" min="7" max="7" width="71.75"/>
    <col customWidth="1" min="8" max="8" width="28.38"/>
    <col customWidth="1" min="9" max="9" width="17.63"/>
    <col customWidth="1" min="11" max="11" width="55.63"/>
    <col customWidth="1" min="13" max="13" width="67.5"/>
    <col customWidth="1" min="14" max="14" width="75.5"/>
    <col customWidth="1" min="15" max="15" width="21.63"/>
  </cols>
  <sheetData>
    <row r="1">
      <c r="A1" s="60" t="s">
        <v>137</v>
      </c>
      <c r="G1" s="61" t="s">
        <v>137</v>
      </c>
      <c r="H1" s="62"/>
      <c r="I1" s="62"/>
      <c r="J1" s="62"/>
      <c r="K1" s="63"/>
      <c r="L1" s="64"/>
      <c r="M1" s="61" t="s">
        <v>140</v>
      </c>
      <c r="N1" s="62"/>
      <c r="O1" s="62"/>
      <c r="P1" s="62"/>
      <c r="Q1" s="63"/>
      <c r="R1" s="64"/>
    </row>
    <row r="2">
      <c r="A2" s="65" t="s">
        <v>141</v>
      </c>
      <c r="G2" s="66" t="s">
        <v>142</v>
      </c>
      <c r="L2" s="64"/>
      <c r="M2" s="66" t="s">
        <v>143</v>
      </c>
      <c r="R2" s="64"/>
    </row>
    <row r="3">
      <c r="A3" s="67" t="s">
        <v>144</v>
      </c>
      <c r="G3" s="68" t="s">
        <v>145</v>
      </c>
      <c r="L3" s="64"/>
      <c r="M3" s="68" t="s">
        <v>148</v>
      </c>
      <c r="R3" s="64"/>
    </row>
    <row r="4">
      <c r="A4" s="69" t="s">
        <v>150</v>
      </c>
      <c r="G4" s="70" t="s">
        <v>150</v>
      </c>
      <c r="L4" s="64"/>
      <c r="M4" s="70" t="s">
        <v>150</v>
      </c>
      <c r="R4" s="64"/>
    </row>
    <row r="5">
      <c r="A5" s="71"/>
      <c r="B5" s="71"/>
      <c r="C5" s="71"/>
      <c r="D5" s="71"/>
      <c r="E5" s="71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</row>
    <row r="6">
      <c r="A6" s="72" t="s">
        <v>2</v>
      </c>
      <c r="B6" s="72" t="s">
        <v>155</v>
      </c>
      <c r="C6" s="72" t="s">
        <v>156</v>
      </c>
      <c r="D6" s="72" t="s">
        <v>157</v>
      </c>
      <c r="E6" s="72" t="s">
        <v>158</v>
      </c>
      <c r="G6" s="73" t="s">
        <v>2</v>
      </c>
      <c r="H6" s="73" t="s">
        <v>155</v>
      </c>
      <c r="I6" s="73" t="s">
        <v>156</v>
      </c>
      <c r="J6" s="73" t="s">
        <v>157</v>
      </c>
      <c r="K6" s="73" t="s">
        <v>158</v>
      </c>
      <c r="L6" s="64"/>
      <c r="M6" s="73" t="s">
        <v>2</v>
      </c>
      <c r="N6" s="73" t="s">
        <v>155</v>
      </c>
      <c r="O6" s="73" t="s">
        <v>156</v>
      </c>
      <c r="P6" s="73" t="s">
        <v>157</v>
      </c>
      <c r="Q6" s="73" t="s">
        <v>158</v>
      </c>
      <c r="R6" s="64"/>
    </row>
    <row r="7">
      <c r="A7" s="74" t="s">
        <v>160</v>
      </c>
      <c r="B7" s="74" t="s">
        <v>163</v>
      </c>
      <c r="C7" s="75">
        <v>46316.0</v>
      </c>
      <c r="D7" s="76">
        <v>3.1</v>
      </c>
      <c r="E7" s="77">
        <v>0.4875</v>
      </c>
      <c r="G7" s="78" t="s">
        <v>164</v>
      </c>
      <c r="H7" s="78" t="s">
        <v>163</v>
      </c>
      <c r="I7" s="79" t="s">
        <v>167</v>
      </c>
      <c r="J7" s="79" t="s">
        <v>168</v>
      </c>
      <c r="K7" s="79" t="s">
        <v>169</v>
      </c>
      <c r="L7" s="64"/>
      <c r="M7" s="78" t="s">
        <v>164</v>
      </c>
      <c r="N7" s="78" t="s">
        <v>163</v>
      </c>
      <c r="O7" s="79" t="s">
        <v>170</v>
      </c>
      <c r="P7" s="79" t="s">
        <v>171</v>
      </c>
      <c r="Q7" s="79" t="s">
        <v>172</v>
      </c>
      <c r="R7" s="64"/>
    </row>
    <row r="8">
      <c r="A8" s="74" t="s">
        <v>173</v>
      </c>
      <c r="B8" s="74" t="s">
        <v>174</v>
      </c>
      <c r="C8" s="76" t="s">
        <v>175</v>
      </c>
      <c r="D8" s="76">
        <v>3.0</v>
      </c>
      <c r="E8" s="77">
        <v>0.4875</v>
      </c>
      <c r="G8" s="78" t="s">
        <v>177</v>
      </c>
      <c r="H8" s="78" t="s">
        <v>174</v>
      </c>
      <c r="I8" s="79" t="s">
        <v>175</v>
      </c>
      <c r="J8" s="79" t="s">
        <v>179</v>
      </c>
      <c r="K8" s="79" t="s">
        <v>180</v>
      </c>
      <c r="L8" s="64"/>
      <c r="M8" s="78" t="s">
        <v>177</v>
      </c>
      <c r="N8" s="78" t="s">
        <v>174</v>
      </c>
      <c r="O8" s="79" t="s">
        <v>175</v>
      </c>
      <c r="P8" s="79" t="s">
        <v>181</v>
      </c>
      <c r="Q8" s="79" t="s">
        <v>172</v>
      </c>
      <c r="R8" s="64"/>
    </row>
    <row r="9">
      <c r="A9" s="80" t="s">
        <v>183</v>
      </c>
      <c r="G9" s="81" t="s">
        <v>183</v>
      </c>
      <c r="L9" s="64"/>
      <c r="M9" s="81" t="s">
        <v>183</v>
      </c>
      <c r="R9" s="64"/>
    </row>
    <row r="10">
      <c r="A10" s="71"/>
      <c r="B10" s="71"/>
      <c r="C10" s="71"/>
      <c r="D10" s="71"/>
      <c r="E10" s="71"/>
      <c r="G10" s="83" t="s">
        <v>186</v>
      </c>
      <c r="L10" s="64"/>
      <c r="M10" s="64"/>
      <c r="N10" s="64"/>
      <c r="O10" s="64"/>
      <c r="P10" s="64"/>
      <c r="Q10" s="64"/>
      <c r="R10" s="64"/>
    </row>
    <row r="11">
      <c r="A11" s="84" t="s">
        <v>187</v>
      </c>
      <c r="B11" s="71"/>
      <c r="C11" s="71"/>
      <c r="D11" s="71"/>
      <c r="E11" s="71"/>
      <c r="G11" s="64"/>
      <c r="H11" s="64"/>
      <c r="I11" s="64"/>
      <c r="J11" s="64"/>
      <c r="K11" s="64"/>
      <c r="L11" s="64"/>
      <c r="M11" s="85" t="s">
        <v>187</v>
      </c>
      <c r="N11" s="64"/>
      <c r="O11" s="64"/>
      <c r="P11" s="64"/>
      <c r="Q11" s="64"/>
      <c r="R11" s="64"/>
    </row>
    <row r="12">
      <c r="A12" s="67" t="s">
        <v>188</v>
      </c>
      <c r="B12" s="86">
        <v>10.0</v>
      </c>
      <c r="C12" s="71"/>
      <c r="D12" s="71"/>
      <c r="E12" s="71"/>
      <c r="G12" s="85" t="s">
        <v>187</v>
      </c>
      <c r="H12" s="64"/>
      <c r="I12" s="64"/>
      <c r="J12" s="64"/>
      <c r="K12" s="64"/>
      <c r="L12" s="64"/>
      <c r="M12" s="68" t="s">
        <v>188</v>
      </c>
      <c r="N12" s="87">
        <v>10.0</v>
      </c>
      <c r="O12" s="64"/>
      <c r="P12" s="64"/>
      <c r="Q12" s="64"/>
      <c r="R12" s="64"/>
    </row>
    <row r="13">
      <c r="A13" s="67" t="s">
        <v>189</v>
      </c>
      <c r="B13" s="88">
        <f>B12*D7/(D8-0.02)</f>
        <v>10.40268456</v>
      </c>
      <c r="C13" s="71"/>
      <c r="D13" s="71"/>
      <c r="E13" s="71"/>
      <c r="G13" s="68" t="s">
        <v>188</v>
      </c>
      <c r="H13" s="87">
        <v>10.0</v>
      </c>
      <c r="I13" s="64"/>
      <c r="J13" s="64"/>
      <c r="K13" s="64"/>
      <c r="L13" s="64"/>
      <c r="M13" s="68" t="s">
        <v>189</v>
      </c>
      <c r="N13" s="89">
        <f>N12*P7/(P8-0.02)</f>
        <v>10.17369727</v>
      </c>
      <c r="O13" s="64"/>
      <c r="P13" s="64"/>
      <c r="Q13" s="64"/>
      <c r="R13" s="64"/>
    </row>
    <row r="14">
      <c r="A14" s="71"/>
      <c r="B14" s="71"/>
      <c r="C14" s="71"/>
      <c r="D14" s="71"/>
      <c r="E14" s="71"/>
      <c r="G14" s="68" t="s">
        <v>189</v>
      </c>
      <c r="H14" s="89">
        <f>H13*J7/(J8-0.02)</f>
        <v>11.0787172</v>
      </c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>
      <c r="A15" s="90"/>
      <c r="B15" s="72" t="s">
        <v>190</v>
      </c>
      <c r="C15" s="72" t="s">
        <v>191</v>
      </c>
      <c r="D15" s="72" t="s">
        <v>192</v>
      </c>
      <c r="E15" s="71"/>
      <c r="G15" s="64"/>
      <c r="H15" s="64"/>
      <c r="I15" s="64"/>
      <c r="J15" s="64"/>
      <c r="K15" s="64"/>
      <c r="L15" s="64"/>
      <c r="M15" s="91"/>
      <c r="N15" s="73" t="s">
        <v>190</v>
      </c>
      <c r="O15" s="73" t="s">
        <v>191</v>
      </c>
      <c r="P15" s="73" t="s">
        <v>192</v>
      </c>
      <c r="Q15" s="64"/>
      <c r="R15" s="64"/>
    </row>
    <row r="16">
      <c r="A16" s="92" t="s">
        <v>193</v>
      </c>
      <c r="B16" s="88">
        <f>B12*(D7-1)</f>
        <v>21</v>
      </c>
      <c r="C16" s="88">
        <f>-B13*(D8-1)</f>
        <v>-20.80536913</v>
      </c>
      <c r="D16" s="88">
        <f t="shared" ref="D16:D17" si="1">B16+C16</f>
        <v>0.1946308725</v>
      </c>
      <c r="E16" s="71"/>
      <c r="G16" s="91"/>
      <c r="H16" s="73" t="s">
        <v>190</v>
      </c>
      <c r="I16" s="73" t="s">
        <v>191</v>
      </c>
      <c r="J16" s="73" t="s">
        <v>192</v>
      </c>
      <c r="K16" s="64"/>
      <c r="L16" s="64"/>
      <c r="M16" s="93" t="s">
        <v>194</v>
      </c>
      <c r="N16" s="89">
        <f>N12*(P7-1)</f>
        <v>31</v>
      </c>
      <c r="O16" s="89">
        <f>-N13*(P8-1)</f>
        <v>-31.02977667</v>
      </c>
      <c r="P16" s="89">
        <f t="shared" ref="P16:P17" si="2">N16+O16</f>
        <v>-0.02977667494</v>
      </c>
      <c r="Q16" s="64"/>
      <c r="R16" s="64"/>
    </row>
    <row r="17">
      <c r="A17" s="92" t="s">
        <v>195</v>
      </c>
      <c r="B17" s="88">
        <f>-B12</f>
        <v>-10</v>
      </c>
      <c r="C17" s="88">
        <f>B13*(1-0.02)</f>
        <v>10.19463087</v>
      </c>
      <c r="D17" s="88">
        <f t="shared" si="1"/>
        <v>0.1946308725</v>
      </c>
      <c r="E17" s="71"/>
      <c r="G17" s="93" t="s">
        <v>196</v>
      </c>
      <c r="H17" s="89">
        <f>H13*(J7-1)</f>
        <v>28</v>
      </c>
      <c r="I17" s="89">
        <f>-H14*(J8-1)</f>
        <v>-27.14285714</v>
      </c>
      <c r="J17" s="89">
        <f t="shared" ref="J17:J18" si="3">H17+I17</f>
        <v>0.8571428571</v>
      </c>
      <c r="K17" s="64"/>
      <c r="L17" s="64"/>
      <c r="M17" s="93" t="s">
        <v>198</v>
      </c>
      <c r="N17" s="89">
        <f>-N12</f>
        <v>-10</v>
      </c>
      <c r="O17" s="89">
        <f>N13*(1-0.02)</f>
        <v>9.970223325</v>
      </c>
      <c r="P17" s="89">
        <f t="shared" si="2"/>
        <v>-0.02977667494</v>
      </c>
      <c r="Q17" s="64"/>
      <c r="R17" s="64"/>
    </row>
    <row r="18">
      <c r="A18" s="69" t="s">
        <v>201</v>
      </c>
      <c r="E18" s="71"/>
      <c r="G18" s="93" t="s">
        <v>203</v>
      </c>
      <c r="H18" s="89">
        <f>-H13</f>
        <v>-10</v>
      </c>
      <c r="I18" s="89">
        <f>H14*(1-0.02)</f>
        <v>10.85714286</v>
      </c>
      <c r="J18" s="89">
        <f t="shared" si="3"/>
        <v>0.8571428571</v>
      </c>
      <c r="K18" s="64"/>
      <c r="L18" s="64"/>
      <c r="M18" s="70" t="s">
        <v>201</v>
      </c>
      <c r="Q18" s="64"/>
      <c r="R18" s="64"/>
    </row>
    <row r="19">
      <c r="A19" s="71"/>
      <c r="B19" s="71"/>
      <c r="C19" s="71"/>
      <c r="D19" s="71"/>
      <c r="E19" s="71"/>
      <c r="G19" s="70" t="s">
        <v>201</v>
      </c>
      <c r="K19" s="64"/>
      <c r="L19" s="64"/>
      <c r="M19" s="64"/>
      <c r="N19" s="64"/>
      <c r="O19" s="64"/>
      <c r="P19" s="64"/>
      <c r="Q19" s="64"/>
      <c r="R19" s="64"/>
    </row>
    <row r="20">
      <c r="A20" s="80" t="s">
        <v>213</v>
      </c>
      <c r="B20" s="96" t="s">
        <v>214</v>
      </c>
      <c r="C20" s="71"/>
      <c r="D20" s="71"/>
      <c r="E20" s="71"/>
      <c r="G20" s="64"/>
      <c r="H20" s="64"/>
      <c r="I20" s="64"/>
      <c r="J20" s="64"/>
      <c r="K20" s="64"/>
      <c r="L20" s="64"/>
      <c r="M20" s="68" t="s">
        <v>217</v>
      </c>
      <c r="N20" s="97">
        <v>0.12</v>
      </c>
      <c r="O20" s="64"/>
      <c r="P20" s="64"/>
      <c r="Q20" s="64"/>
      <c r="R20" s="64"/>
    </row>
    <row r="21">
      <c r="A21" s="80" t="s">
        <v>220</v>
      </c>
      <c r="B21" s="98" t="s">
        <v>221</v>
      </c>
      <c r="C21" s="99"/>
      <c r="D21" s="99"/>
      <c r="E21" s="100"/>
      <c r="G21" s="81" t="s">
        <v>213</v>
      </c>
      <c r="H21" s="101" t="s">
        <v>222</v>
      </c>
      <c r="I21" s="64"/>
      <c r="J21" s="64"/>
      <c r="K21" s="64"/>
      <c r="L21" s="64"/>
      <c r="M21" s="68" t="s">
        <v>223</v>
      </c>
      <c r="N21" s="97">
        <v>-0.03</v>
      </c>
      <c r="O21" s="64"/>
      <c r="P21" s="64"/>
      <c r="Q21" s="64"/>
      <c r="R21" s="64"/>
    </row>
    <row r="22">
      <c r="A22" s="71"/>
      <c r="B22" s="71"/>
      <c r="C22" s="71"/>
      <c r="D22" s="71"/>
      <c r="E22" s="71"/>
      <c r="G22" s="81" t="s">
        <v>220</v>
      </c>
      <c r="H22" s="102" t="s">
        <v>224</v>
      </c>
      <c r="I22" s="99"/>
      <c r="J22" s="99"/>
      <c r="K22" s="100"/>
      <c r="L22" s="64"/>
      <c r="M22" s="68" t="s">
        <v>225</v>
      </c>
      <c r="N22" s="97">
        <v>-0.3</v>
      </c>
      <c r="O22" s="64"/>
      <c r="P22" s="64"/>
      <c r="Q22" s="64"/>
      <c r="R22" s="64"/>
    </row>
    <row r="23">
      <c r="A23" s="80" t="s">
        <v>226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</row>
    <row r="24">
      <c r="A24" s="71"/>
      <c r="B24" s="71"/>
      <c r="C24" s="71"/>
      <c r="D24" s="71"/>
      <c r="E24" s="71"/>
      <c r="G24" s="81" t="s">
        <v>226</v>
      </c>
      <c r="L24" s="64"/>
      <c r="M24" s="81" t="s">
        <v>213</v>
      </c>
      <c r="N24" s="101" t="s">
        <v>229</v>
      </c>
      <c r="O24" s="64"/>
      <c r="P24" s="64"/>
      <c r="Q24" s="64"/>
      <c r="R24" s="64"/>
    </row>
    <row r="25">
      <c r="A25" s="71"/>
      <c r="B25" s="71"/>
      <c r="C25" s="71"/>
      <c r="D25" s="71"/>
      <c r="E25" s="71"/>
      <c r="G25" s="64"/>
      <c r="H25" s="64"/>
      <c r="I25" s="64"/>
      <c r="J25" s="64"/>
      <c r="K25" s="64"/>
      <c r="L25" s="64"/>
      <c r="M25" s="81" t="s">
        <v>220</v>
      </c>
      <c r="N25" s="102" t="s">
        <v>230</v>
      </c>
      <c r="O25" s="99"/>
      <c r="P25" s="99"/>
      <c r="Q25" s="100"/>
      <c r="R25" s="64"/>
    </row>
    <row r="26">
      <c r="A26" s="71"/>
      <c r="B26" s="71"/>
      <c r="C26" s="71"/>
      <c r="D26" s="71"/>
      <c r="E26" s="71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</row>
    <row r="27">
      <c r="A27" s="71"/>
      <c r="B27" s="71"/>
      <c r="C27" s="71"/>
      <c r="D27" s="71"/>
      <c r="E27" s="71"/>
      <c r="G27" s="64"/>
      <c r="H27" s="64"/>
      <c r="I27" s="64"/>
      <c r="J27" s="64"/>
      <c r="K27" s="64"/>
      <c r="L27" s="64"/>
      <c r="M27" s="81" t="s">
        <v>226</v>
      </c>
      <c r="R27" s="64"/>
    </row>
    <row r="28">
      <c r="A28" s="71"/>
      <c r="B28" s="71"/>
      <c r="C28" s="71"/>
      <c r="D28" s="71"/>
      <c r="E28" s="71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</row>
    <row r="29"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</row>
    <row r="30">
      <c r="M30" s="64"/>
      <c r="N30" s="64"/>
      <c r="O30" s="64"/>
      <c r="P30" s="64"/>
      <c r="Q30" s="64"/>
      <c r="R30" s="64"/>
    </row>
    <row r="31">
      <c r="M31" s="64"/>
      <c r="N31" s="64"/>
      <c r="O31" s="64"/>
      <c r="P31" s="64"/>
      <c r="Q31" s="64"/>
      <c r="R31" s="64"/>
    </row>
  </sheetData>
  <mergeCells count="25">
    <mergeCell ref="M2:Q2"/>
    <mergeCell ref="M3:Q3"/>
    <mergeCell ref="M9:Q9"/>
    <mergeCell ref="M18:P18"/>
    <mergeCell ref="N25:Q25"/>
    <mergeCell ref="M27:Q27"/>
    <mergeCell ref="A1:E1"/>
    <mergeCell ref="G1:K1"/>
    <mergeCell ref="M1:Q1"/>
    <mergeCell ref="A2:E2"/>
    <mergeCell ref="G2:K2"/>
    <mergeCell ref="A3:E3"/>
    <mergeCell ref="A4:E4"/>
    <mergeCell ref="M4:Q4"/>
    <mergeCell ref="B21:E21"/>
    <mergeCell ref="H22:K22"/>
    <mergeCell ref="A23:E23"/>
    <mergeCell ref="G24:K24"/>
    <mergeCell ref="G3:K3"/>
    <mergeCell ref="G4:K4"/>
    <mergeCell ref="A9:E9"/>
    <mergeCell ref="G9:K9"/>
    <mergeCell ref="G10:K10"/>
    <mergeCell ref="A18:D18"/>
    <mergeCell ref="G19:J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8.88"/>
    <col customWidth="1" min="2" max="2" width="29.25"/>
    <col customWidth="1" min="3" max="3" width="20.13"/>
    <col customWidth="1" min="7" max="7" width="18.63"/>
  </cols>
  <sheetData>
    <row r="1">
      <c r="A1" s="3" t="b">
        <v>0</v>
      </c>
      <c r="B1" s="94" t="s">
        <v>197</v>
      </c>
      <c r="D1" s="3" t="s">
        <v>199</v>
      </c>
      <c r="E1" s="3">
        <v>0.05</v>
      </c>
      <c r="F1" s="3" t="s">
        <v>200</v>
      </c>
      <c r="G1" s="95" t="s">
        <v>202</v>
      </c>
    </row>
    <row r="3">
      <c r="A3" s="3" t="s">
        <v>204</v>
      </c>
      <c r="B3" s="3" t="s">
        <v>205</v>
      </c>
      <c r="C3" s="3" t="s">
        <v>206</v>
      </c>
      <c r="D3" s="3" t="s">
        <v>207</v>
      </c>
      <c r="E3" s="3" t="s">
        <v>163</v>
      </c>
      <c r="F3" s="3" t="s">
        <v>174</v>
      </c>
      <c r="G3" s="3" t="s">
        <v>208</v>
      </c>
      <c r="H3" s="3" t="s">
        <v>209</v>
      </c>
      <c r="I3" s="3" t="s">
        <v>138</v>
      </c>
    </row>
    <row r="4">
      <c r="A4" s="3" t="s">
        <v>210</v>
      </c>
      <c r="B4" s="3" t="s">
        <v>211</v>
      </c>
      <c r="C4" s="95">
        <v>1.26</v>
      </c>
      <c r="D4" s="3" t="s">
        <v>212</v>
      </c>
      <c r="E4" s="95">
        <v>1.3</v>
      </c>
      <c r="F4" s="95">
        <v>1.31</v>
      </c>
      <c r="G4" s="15">
        <f t="shared" ref="G4:G63" si="1">IF(OR($C4="",$C4=0,$F4=""),"",$C4/$F4-1)</f>
        <v>-0.03816793893</v>
      </c>
      <c r="H4" s="36">
        <f t="shared" ref="H4:H63" si="2">IF($G4="","",($C4*(1-$E$1))/($F4-$E$1))</f>
        <v>0.95</v>
      </c>
      <c r="I4" s="36" t="str">
        <f t="shared" ref="I4:I63" si="3">IF($H4="","",IF($H4&gt;1,"LOOK","NO"))</f>
        <v>NO</v>
      </c>
    </row>
    <row r="5">
      <c r="A5" s="3" t="s">
        <v>210</v>
      </c>
      <c r="B5" s="3" t="s">
        <v>227</v>
      </c>
      <c r="C5" s="95">
        <v>6.5</v>
      </c>
      <c r="D5" s="3" t="s">
        <v>228</v>
      </c>
      <c r="E5" s="95">
        <v>6.6</v>
      </c>
      <c r="F5" s="95">
        <v>6.8</v>
      </c>
      <c r="G5" s="15">
        <f t="shared" si="1"/>
        <v>-0.04411764706</v>
      </c>
      <c r="H5" s="36">
        <f t="shared" si="2"/>
        <v>0.9148148148</v>
      </c>
      <c r="I5" s="36" t="str">
        <f t="shared" si="3"/>
        <v>NO</v>
      </c>
    </row>
    <row r="6">
      <c r="A6" s="3" t="s">
        <v>210</v>
      </c>
      <c r="B6" s="3" t="s">
        <v>231</v>
      </c>
      <c r="C6" s="95">
        <v>11.0</v>
      </c>
      <c r="D6" s="3" t="s">
        <v>232</v>
      </c>
      <c r="E6" s="95">
        <v>12.0</v>
      </c>
      <c r="F6" s="95">
        <v>12.5</v>
      </c>
      <c r="G6" s="15">
        <f t="shared" si="1"/>
        <v>-0.12</v>
      </c>
      <c r="H6" s="36">
        <f t="shared" si="2"/>
        <v>0.8393574297</v>
      </c>
      <c r="I6" s="36" t="str">
        <f t="shared" si="3"/>
        <v>NO</v>
      </c>
    </row>
    <row r="7">
      <c r="A7" s="3" t="s">
        <v>233</v>
      </c>
      <c r="B7" s="3" t="s">
        <v>234</v>
      </c>
      <c r="C7" s="95">
        <v>2.0</v>
      </c>
      <c r="D7" s="3" t="s">
        <v>212</v>
      </c>
      <c r="E7" s="95">
        <v>2.04</v>
      </c>
      <c r="F7" s="95">
        <v>2.08</v>
      </c>
      <c r="G7" s="15">
        <f t="shared" si="1"/>
        <v>-0.03846153846</v>
      </c>
      <c r="H7" s="36">
        <f t="shared" si="2"/>
        <v>0.9359605911</v>
      </c>
      <c r="I7" s="36" t="str">
        <f t="shared" si="3"/>
        <v>NO</v>
      </c>
    </row>
    <row r="8">
      <c r="A8" s="3" t="s">
        <v>233</v>
      </c>
      <c r="B8" s="3" t="s">
        <v>227</v>
      </c>
      <c r="C8" s="95">
        <v>3.4</v>
      </c>
      <c r="D8" s="3" t="s">
        <v>212</v>
      </c>
      <c r="E8" s="95">
        <v>3.5</v>
      </c>
      <c r="F8" s="95">
        <v>3.55</v>
      </c>
      <c r="G8" s="15">
        <f t="shared" si="1"/>
        <v>-0.04225352113</v>
      </c>
      <c r="H8" s="36">
        <f t="shared" si="2"/>
        <v>0.9228571429</v>
      </c>
      <c r="I8" s="36" t="str">
        <f t="shared" si="3"/>
        <v>NO</v>
      </c>
    </row>
    <row r="9">
      <c r="A9" s="3" t="s">
        <v>233</v>
      </c>
      <c r="B9" s="3" t="s">
        <v>235</v>
      </c>
      <c r="C9" s="95">
        <v>4.2</v>
      </c>
      <c r="D9" s="3" t="s">
        <v>236</v>
      </c>
      <c r="E9" s="95">
        <v>4.3</v>
      </c>
      <c r="F9" s="95">
        <v>4.4</v>
      </c>
      <c r="G9" s="15">
        <f t="shared" si="1"/>
        <v>-0.04545454545</v>
      </c>
      <c r="H9" s="36">
        <f t="shared" si="2"/>
        <v>0.9172413793</v>
      </c>
      <c r="I9" s="36" t="str">
        <f t="shared" si="3"/>
        <v>NO</v>
      </c>
    </row>
    <row r="10">
      <c r="A10" s="3" t="s">
        <v>237</v>
      </c>
      <c r="B10" s="3" t="s">
        <v>238</v>
      </c>
      <c r="C10" s="95">
        <v>1.35</v>
      </c>
      <c r="D10" s="3" t="s">
        <v>236</v>
      </c>
      <c r="E10" s="95">
        <v>1.34</v>
      </c>
      <c r="F10" s="95">
        <v>1.35</v>
      </c>
      <c r="G10" s="15">
        <f t="shared" si="1"/>
        <v>0</v>
      </c>
      <c r="H10" s="36">
        <f t="shared" si="2"/>
        <v>0.9865384615</v>
      </c>
      <c r="I10" s="36" t="str">
        <f t="shared" si="3"/>
        <v>NO</v>
      </c>
    </row>
    <row r="11">
      <c r="A11" s="3" t="s">
        <v>237</v>
      </c>
      <c r="B11" s="3" t="s">
        <v>227</v>
      </c>
      <c r="C11" s="95">
        <v>6.1</v>
      </c>
      <c r="D11" s="3" t="s">
        <v>212</v>
      </c>
      <c r="E11" s="95">
        <v>6.4</v>
      </c>
      <c r="F11" s="95">
        <v>6.6</v>
      </c>
      <c r="G11" s="15">
        <f t="shared" si="1"/>
        <v>-0.07575757576</v>
      </c>
      <c r="H11" s="36">
        <f t="shared" si="2"/>
        <v>0.8847328244</v>
      </c>
      <c r="I11" s="36" t="str">
        <f t="shared" si="3"/>
        <v>NO</v>
      </c>
    </row>
    <row r="12">
      <c r="A12" s="3" t="s">
        <v>237</v>
      </c>
      <c r="B12" s="3" t="s">
        <v>239</v>
      </c>
      <c r="C12" s="95">
        <v>9.5</v>
      </c>
      <c r="D12" s="3" t="s">
        <v>212</v>
      </c>
      <c r="E12" s="95">
        <v>10.0</v>
      </c>
      <c r="F12" s="95">
        <v>10.5</v>
      </c>
      <c r="G12" s="15">
        <f t="shared" si="1"/>
        <v>-0.09523809524</v>
      </c>
      <c r="H12" s="36">
        <f t="shared" si="2"/>
        <v>0.8636363636</v>
      </c>
      <c r="I12" s="36" t="str">
        <f t="shared" si="3"/>
        <v>NO</v>
      </c>
    </row>
    <row r="13">
      <c r="A13" s="3" t="s">
        <v>240</v>
      </c>
      <c r="B13" s="3" t="s">
        <v>241</v>
      </c>
      <c r="C13" s="95">
        <v>2.2</v>
      </c>
      <c r="D13" s="3" t="s">
        <v>14</v>
      </c>
      <c r="E13" s="95">
        <v>2.22</v>
      </c>
      <c r="F13" s="95">
        <v>2.26</v>
      </c>
      <c r="G13" s="15">
        <f t="shared" si="1"/>
        <v>-0.02654867257</v>
      </c>
      <c r="H13" s="36">
        <f t="shared" si="2"/>
        <v>0.9457013575</v>
      </c>
      <c r="I13" s="36" t="str">
        <f t="shared" si="3"/>
        <v>NO</v>
      </c>
    </row>
    <row r="14">
      <c r="A14" s="3" t="s">
        <v>240</v>
      </c>
      <c r="B14" s="3" t="s">
        <v>227</v>
      </c>
      <c r="C14" s="95">
        <v>3.6</v>
      </c>
      <c r="D14" s="3" t="s">
        <v>232</v>
      </c>
      <c r="E14" s="95">
        <v>3.6</v>
      </c>
      <c r="F14" s="95">
        <v>3.7</v>
      </c>
      <c r="G14" s="15">
        <f t="shared" si="1"/>
        <v>-0.02702702703</v>
      </c>
      <c r="H14" s="36">
        <f t="shared" si="2"/>
        <v>0.9369863014</v>
      </c>
      <c r="I14" s="36" t="str">
        <f t="shared" si="3"/>
        <v>NO</v>
      </c>
    </row>
    <row r="15">
      <c r="A15" s="3" t="s">
        <v>240</v>
      </c>
      <c r="B15" s="3" t="s">
        <v>242</v>
      </c>
      <c r="C15" s="95">
        <v>3.5</v>
      </c>
      <c r="D15" s="3" t="s">
        <v>212</v>
      </c>
      <c r="E15" s="95">
        <v>3.5</v>
      </c>
      <c r="F15" s="95">
        <v>3.65</v>
      </c>
      <c r="G15" s="15">
        <f t="shared" si="1"/>
        <v>-0.04109589041</v>
      </c>
      <c r="H15" s="36">
        <f t="shared" si="2"/>
        <v>0.9236111111</v>
      </c>
      <c r="I15" s="36" t="str">
        <f t="shared" si="3"/>
        <v>NO</v>
      </c>
    </row>
    <row r="16">
      <c r="A16" s="3" t="s">
        <v>243</v>
      </c>
      <c r="B16" s="3" t="s">
        <v>244</v>
      </c>
      <c r="C16" s="95">
        <v>3.25</v>
      </c>
      <c r="D16" s="3" t="s">
        <v>212</v>
      </c>
      <c r="E16" s="95">
        <v>3.25</v>
      </c>
      <c r="F16" s="95">
        <v>3.3</v>
      </c>
      <c r="G16" s="15">
        <f t="shared" si="1"/>
        <v>-0.01515151515</v>
      </c>
      <c r="H16" s="36">
        <f t="shared" si="2"/>
        <v>0.95</v>
      </c>
      <c r="I16" s="36" t="str">
        <f t="shared" si="3"/>
        <v>NO</v>
      </c>
    </row>
    <row r="17">
      <c r="A17" s="3" t="s">
        <v>243</v>
      </c>
      <c r="B17" s="3" t="s">
        <v>227</v>
      </c>
      <c r="C17" s="95">
        <v>3.6</v>
      </c>
      <c r="D17" s="3" t="s">
        <v>232</v>
      </c>
      <c r="E17" s="95">
        <v>3.6</v>
      </c>
      <c r="F17" s="95">
        <v>3.7</v>
      </c>
      <c r="G17" s="15">
        <f t="shared" si="1"/>
        <v>-0.02702702703</v>
      </c>
      <c r="H17" s="36">
        <f t="shared" si="2"/>
        <v>0.9369863014</v>
      </c>
      <c r="I17" s="36" t="str">
        <f t="shared" si="3"/>
        <v>NO</v>
      </c>
    </row>
    <row r="18">
      <c r="A18" s="3" t="s">
        <v>243</v>
      </c>
      <c r="B18" s="3" t="s">
        <v>245</v>
      </c>
      <c r="C18" s="95">
        <v>2.4</v>
      </c>
      <c r="D18" s="3" t="s">
        <v>14</v>
      </c>
      <c r="E18" s="95">
        <v>2.36</v>
      </c>
      <c r="F18" s="95">
        <v>2.4</v>
      </c>
      <c r="G18" s="15">
        <f t="shared" si="1"/>
        <v>0</v>
      </c>
      <c r="H18" s="36">
        <f t="shared" si="2"/>
        <v>0.970212766</v>
      </c>
      <c r="I18" s="36" t="str">
        <f t="shared" si="3"/>
        <v>NO</v>
      </c>
    </row>
    <row r="19">
      <c r="A19" s="3" t="s">
        <v>247</v>
      </c>
      <c r="B19" s="3" t="s">
        <v>248</v>
      </c>
      <c r="C19" s="95">
        <v>3.4</v>
      </c>
      <c r="D19" s="3" t="s">
        <v>250</v>
      </c>
      <c r="E19" s="95">
        <v>3.55</v>
      </c>
      <c r="F19" s="95">
        <v>3.6</v>
      </c>
      <c r="G19" s="15">
        <f t="shared" si="1"/>
        <v>-0.05555555556</v>
      </c>
      <c r="H19" s="36">
        <f t="shared" si="2"/>
        <v>0.9098591549</v>
      </c>
      <c r="I19" s="36" t="str">
        <f t="shared" si="3"/>
        <v>NO</v>
      </c>
    </row>
    <row r="20">
      <c r="A20" s="3" t="s">
        <v>247</v>
      </c>
      <c r="B20" s="3" t="s">
        <v>227</v>
      </c>
      <c r="C20" s="95">
        <v>3.5</v>
      </c>
      <c r="D20" s="3" t="s">
        <v>232</v>
      </c>
      <c r="E20" s="95">
        <v>3.55</v>
      </c>
      <c r="F20" s="95">
        <v>3.6</v>
      </c>
      <c r="G20" s="15">
        <f t="shared" si="1"/>
        <v>-0.02777777778</v>
      </c>
      <c r="H20" s="36">
        <f t="shared" si="2"/>
        <v>0.9366197183</v>
      </c>
      <c r="I20" s="36" t="str">
        <f t="shared" si="3"/>
        <v>NO</v>
      </c>
    </row>
    <row r="21">
      <c r="A21" s="3" t="s">
        <v>247</v>
      </c>
      <c r="B21" s="3" t="s">
        <v>266</v>
      </c>
      <c r="C21" s="95">
        <v>2.25</v>
      </c>
      <c r="D21" s="3" t="s">
        <v>212</v>
      </c>
      <c r="E21" s="95">
        <v>2.26</v>
      </c>
      <c r="F21" s="95">
        <v>2.28</v>
      </c>
      <c r="G21" s="15">
        <f t="shared" si="1"/>
        <v>-0.01315789474</v>
      </c>
      <c r="H21" s="36">
        <f t="shared" si="2"/>
        <v>0.9585201794</v>
      </c>
      <c r="I21" s="36" t="str">
        <f t="shared" si="3"/>
        <v>NO</v>
      </c>
    </row>
    <row r="22">
      <c r="A22" s="3" t="s">
        <v>275</v>
      </c>
      <c r="B22" s="3" t="s">
        <v>231</v>
      </c>
      <c r="C22" s="95">
        <v>1.91</v>
      </c>
      <c r="D22" s="3" t="s">
        <v>14</v>
      </c>
      <c r="E22" s="95">
        <v>1.92</v>
      </c>
      <c r="F22" s="95">
        <v>1.95</v>
      </c>
      <c r="G22" s="15">
        <f t="shared" si="1"/>
        <v>-0.02051282051</v>
      </c>
      <c r="H22" s="36">
        <f t="shared" si="2"/>
        <v>0.955</v>
      </c>
      <c r="I22" s="36" t="str">
        <f t="shared" si="3"/>
        <v>NO</v>
      </c>
    </row>
    <row r="23">
      <c r="A23" s="3" t="s">
        <v>275</v>
      </c>
      <c r="B23" s="3" t="s">
        <v>227</v>
      </c>
      <c r="C23" s="95">
        <v>3.75</v>
      </c>
      <c r="D23" s="3" t="s">
        <v>212</v>
      </c>
      <c r="E23" s="95">
        <v>3.85</v>
      </c>
      <c r="F23" s="95">
        <v>3.95</v>
      </c>
      <c r="G23" s="15">
        <f t="shared" si="1"/>
        <v>-0.05063291139</v>
      </c>
      <c r="H23" s="36">
        <f t="shared" si="2"/>
        <v>0.9134615385</v>
      </c>
      <c r="I23" s="36" t="str">
        <f t="shared" si="3"/>
        <v>NO</v>
      </c>
    </row>
    <row r="24">
      <c r="A24" s="3" t="s">
        <v>275</v>
      </c>
      <c r="B24" s="3" t="s">
        <v>278</v>
      </c>
      <c r="C24" s="95">
        <v>4.2</v>
      </c>
      <c r="D24" s="3" t="s">
        <v>250</v>
      </c>
      <c r="E24" s="95">
        <v>4.4</v>
      </c>
      <c r="F24" s="95">
        <v>4.6</v>
      </c>
      <c r="G24" s="15">
        <f t="shared" si="1"/>
        <v>-0.08695652174</v>
      </c>
      <c r="H24" s="36">
        <f t="shared" si="2"/>
        <v>0.8769230769</v>
      </c>
      <c r="I24" s="36" t="str">
        <f t="shared" si="3"/>
        <v>NO</v>
      </c>
    </row>
    <row r="25">
      <c r="A25" s="3" t="s">
        <v>279</v>
      </c>
      <c r="B25" s="3" t="s">
        <v>280</v>
      </c>
      <c r="C25" s="95">
        <v>3.6</v>
      </c>
      <c r="D25" s="3" t="s">
        <v>212</v>
      </c>
      <c r="E25" s="95">
        <v>3.7</v>
      </c>
      <c r="F25" s="95">
        <v>3.75</v>
      </c>
      <c r="G25" s="15">
        <f t="shared" si="1"/>
        <v>-0.04</v>
      </c>
      <c r="H25" s="36">
        <f t="shared" si="2"/>
        <v>0.9243243243</v>
      </c>
      <c r="I25" s="36" t="str">
        <f t="shared" si="3"/>
        <v>NO</v>
      </c>
    </row>
    <row r="26">
      <c r="A26" s="3" t="s">
        <v>279</v>
      </c>
      <c r="B26" s="3" t="s">
        <v>227</v>
      </c>
      <c r="C26" s="95">
        <v>3.5</v>
      </c>
      <c r="D26" s="3" t="s">
        <v>212</v>
      </c>
      <c r="E26" s="95">
        <v>3.6</v>
      </c>
      <c r="F26" s="95">
        <v>3.65</v>
      </c>
      <c r="G26" s="15">
        <f t="shared" si="1"/>
        <v>-0.04109589041</v>
      </c>
      <c r="H26" s="36">
        <f t="shared" si="2"/>
        <v>0.9236111111</v>
      </c>
      <c r="I26" s="36" t="str">
        <f t="shared" si="3"/>
        <v>NO</v>
      </c>
    </row>
    <row r="27">
      <c r="A27" s="3" t="s">
        <v>279</v>
      </c>
      <c r="B27" s="3" t="s">
        <v>281</v>
      </c>
      <c r="C27" s="95">
        <v>2.1</v>
      </c>
      <c r="D27" s="3" t="s">
        <v>282</v>
      </c>
      <c r="E27" s="95">
        <v>2.18</v>
      </c>
      <c r="F27" s="95">
        <v>2.22</v>
      </c>
      <c r="G27" s="15">
        <f t="shared" si="1"/>
        <v>-0.05405405405</v>
      </c>
      <c r="H27" s="36">
        <f t="shared" si="2"/>
        <v>0.9193548387</v>
      </c>
      <c r="I27" s="36" t="str">
        <f t="shared" si="3"/>
        <v>NO</v>
      </c>
    </row>
    <row r="28">
      <c r="A28" s="3" t="s">
        <v>283</v>
      </c>
      <c r="B28" s="3" t="s">
        <v>211</v>
      </c>
      <c r="C28" s="95">
        <v>1.18</v>
      </c>
      <c r="D28" s="3" t="s">
        <v>212</v>
      </c>
      <c r="E28" s="95">
        <v>1.18</v>
      </c>
      <c r="F28" s="95">
        <v>1.2</v>
      </c>
      <c r="G28" s="15">
        <f t="shared" si="1"/>
        <v>-0.01666666667</v>
      </c>
      <c r="H28" s="36">
        <f t="shared" si="2"/>
        <v>0.9747826087</v>
      </c>
      <c r="I28" s="36" t="str">
        <f t="shared" si="3"/>
        <v>NO</v>
      </c>
    </row>
    <row r="29">
      <c r="A29" s="3" t="s">
        <v>283</v>
      </c>
      <c r="B29" s="3" t="s">
        <v>227</v>
      </c>
      <c r="C29" s="95">
        <v>8.5</v>
      </c>
      <c r="D29" s="3" t="s">
        <v>284</v>
      </c>
      <c r="E29" s="95">
        <v>8.8</v>
      </c>
      <c r="F29" s="95">
        <v>9.8</v>
      </c>
      <c r="G29" s="15">
        <f t="shared" si="1"/>
        <v>-0.1326530612</v>
      </c>
      <c r="H29" s="36">
        <f t="shared" si="2"/>
        <v>0.8282051282</v>
      </c>
      <c r="I29" s="36" t="str">
        <f t="shared" si="3"/>
        <v>NO</v>
      </c>
    </row>
    <row r="30">
      <c r="A30" s="3" t="s">
        <v>283</v>
      </c>
      <c r="B30" s="3" t="s">
        <v>285</v>
      </c>
      <c r="C30" s="95">
        <v>17.0</v>
      </c>
      <c r="D30" s="3" t="s">
        <v>250</v>
      </c>
      <c r="E30" s="95">
        <v>18.0</v>
      </c>
      <c r="F30" s="95">
        <v>20.0</v>
      </c>
      <c r="G30" s="15">
        <f t="shared" si="1"/>
        <v>-0.15</v>
      </c>
      <c r="H30" s="36">
        <f t="shared" si="2"/>
        <v>0.8095238095</v>
      </c>
      <c r="I30" s="36" t="str">
        <f t="shared" si="3"/>
        <v>NO</v>
      </c>
    </row>
    <row r="31">
      <c r="A31" s="3" t="s">
        <v>286</v>
      </c>
      <c r="B31" s="3" t="s">
        <v>287</v>
      </c>
      <c r="C31" s="95">
        <v>2.6</v>
      </c>
      <c r="D31" s="3" t="s">
        <v>232</v>
      </c>
      <c r="E31" s="95">
        <v>2.7</v>
      </c>
      <c r="F31" s="95">
        <v>2.78</v>
      </c>
      <c r="G31" s="15">
        <f t="shared" si="1"/>
        <v>-0.06474820144</v>
      </c>
      <c r="H31" s="36">
        <f t="shared" si="2"/>
        <v>0.9047619048</v>
      </c>
      <c r="I31" s="36" t="str">
        <f t="shared" si="3"/>
        <v>NO</v>
      </c>
    </row>
    <row r="32">
      <c r="A32" s="3" t="s">
        <v>286</v>
      </c>
      <c r="B32" s="3" t="s">
        <v>227</v>
      </c>
      <c r="C32" s="95">
        <v>3.2</v>
      </c>
      <c r="D32" s="3" t="s">
        <v>212</v>
      </c>
      <c r="E32" s="95">
        <v>3.15</v>
      </c>
      <c r="F32" s="95">
        <v>3.2</v>
      </c>
      <c r="G32" s="15">
        <f t="shared" si="1"/>
        <v>0</v>
      </c>
      <c r="H32" s="36">
        <f t="shared" si="2"/>
        <v>0.9650793651</v>
      </c>
      <c r="I32" s="36" t="str">
        <f t="shared" si="3"/>
        <v>NO</v>
      </c>
    </row>
    <row r="33">
      <c r="A33" s="3" t="s">
        <v>286</v>
      </c>
      <c r="B33" s="3" t="s">
        <v>288</v>
      </c>
      <c r="C33" s="95">
        <v>3.0</v>
      </c>
      <c r="D33" s="3" t="s">
        <v>212</v>
      </c>
      <c r="E33" s="95">
        <v>3.1</v>
      </c>
      <c r="F33" s="95">
        <v>3.2</v>
      </c>
      <c r="G33" s="15">
        <f t="shared" si="1"/>
        <v>-0.0625</v>
      </c>
      <c r="H33" s="36">
        <f t="shared" si="2"/>
        <v>0.9047619048</v>
      </c>
      <c r="I33" s="36" t="str">
        <f t="shared" si="3"/>
        <v>NO</v>
      </c>
    </row>
    <row r="34">
      <c r="A34" s="3" t="s">
        <v>289</v>
      </c>
      <c r="B34" s="3" t="s">
        <v>234</v>
      </c>
      <c r="C34" s="95">
        <v>2.4</v>
      </c>
      <c r="D34" s="3" t="s">
        <v>282</v>
      </c>
      <c r="E34" s="95">
        <v>2.42</v>
      </c>
      <c r="F34" s="95">
        <v>2.62</v>
      </c>
      <c r="G34" s="15">
        <f t="shared" si="1"/>
        <v>-0.08396946565</v>
      </c>
      <c r="H34" s="36">
        <f t="shared" si="2"/>
        <v>0.8871595331</v>
      </c>
      <c r="I34" s="36" t="str">
        <f t="shared" si="3"/>
        <v>NO</v>
      </c>
      <c r="L34" s="104"/>
    </row>
    <row r="35">
      <c r="A35" s="3" t="s">
        <v>289</v>
      </c>
      <c r="B35" s="3" t="s">
        <v>227</v>
      </c>
      <c r="C35" s="95">
        <v>3.4</v>
      </c>
      <c r="D35" s="3" t="s">
        <v>232</v>
      </c>
      <c r="E35" s="95">
        <v>3.25</v>
      </c>
      <c r="F35" s="95">
        <v>3.45</v>
      </c>
      <c r="G35" s="15">
        <f t="shared" si="1"/>
        <v>-0.01449275362</v>
      </c>
      <c r="H35" s="36">
        <f t="shared" si="2"/>
        <v>0.95</v>
      </c>
      <c r="I35" s="36" t="str">
        <f t="shared" si="3"/>
        <v>NO</v>
      </c>
    </row>
    <row r="36">
      <c r="A36" s="3" t="s">
        <v>289</v>
      </c>
      <c r="B36" s="3" t="s">
        <v>239</v>
      </c>
      <c r="C36" s="95">
        <v>3.1</v>
      </c>
      <c r="D36" s="3" t="s">
        <v>212</v>
      </c>
      <c r="E36" s="95">
        <v>3.2</v>
      </c>
      <c r="F36" s="95">
        <v>3.45</v>
      </c>
      <c r="G36" s="15">
        <f t="shared" si="1"/>
        <v>-0.1014492754</v>
      </c>
      <c r="H36" s="36">
        <f t="shared" si="2"/>
        <v>0.8661764706</v>
      </c>
      <c r="I36" s="36" t="str">
        <f t="shared" si="3"/>
        <v>NO</v>
      </c>
    </row>
    <row r="37">
      <c r="A37" s="3" t="s">
        <v>290</v>
      </c>
      <c r="B37" s="3" t="s">
        <v>235</v>
      </c>
      <c r="C37" s="95">
        <v>2.15</v>
      </c>
      <c r="D37" s="3" t="s">
        <v>282</v>
      </c>
      <c r="E37" s="95">
        <v>2.16</v>
      </c>
      <c r="F37" s="95">
        <v>2.28</v>
      </c>
      <c r="G37" s="15">
        <f t="shared" si="1"/>
        <v>-0.05701754386</v>
      </c>
      <c r="H37" s="36">
        <f t="shared" si="2"/>
        <v>0.9159192825</v>
      </c>
      <c r="I37" s="36" t="str">
        <f t="shared" si="3"/>
        <v>NO</v>
      </c>
    </row>
    <row r="38">
      <c r="A38" s="3" t="s">
        <v>290</v>
      </c>
      <c r="B38" s="3" t="s">
        <v>227</v>
      </c>
      <c r="C38" s="95">
        <v>3.2</v>
      </c>
      <c r="D38" s="3" t="s">
        <v>232</v>
      </c>
      <c r="E38" s="95">
        <v>3.15</v>
      </c>
      <c r="F38" s="95">
        <v>3.3</v>
      </c>
      <c r="G38" s="15">
        <f t="shared" si="1"/>
        <v>-0.0303030303</v>
      </c>
      <c r="H38" s="36">
        <f t="shared" si="2"/>
        <v>0.9353846154</v>
      </c>
      <c r="I38" s="36" t="str">
        <f t="shared" si="3"/>
        <v>NO</v>
      </c>
    </row>
    <row r="39">
      <c r="A39" s="3" t="s">
        <v>290</v>
      </c>
      <c r="B39" s="3" t="s">
        <v>291</v>
      </c>
      <c r="C39" s="95">
        <v>3.9</v>
      </c>
      <c r="D39" s="3" t="s">
        <v>212</v>
      </c>
      <c r="E39" s="95">
        <v>4.0</v>
      </c>
      <c r="F39" s="95">
        <v>4.3</v>
      </c>
      <c r="G39" s="15">
        <f t="shared" si="1"/>
        <v>-0.09302325581</v>
      </c>
      <c r="H39" s="36">
        <f t="shared" si="2"/>
        <v>0.8717647059</v>
      </c>
      <c r="I39" s="36" t="str">
        <f t="shared" si="3"/>
        <v>NO</v>
      </c>
    </row>
    <row r="40">
      <c r="A40" s="3" t="s">
        <v>295</v>
      </c>
      <c r="B40" s="3" t="s">
        <v>238</v>
      </c>
      <c r="C40" s="95">
        <v>1.23</v>
      </c>
      <c r="D40" s="3" t="s">
        <v>212</v>
      </c>
      <c r="E40" s="95">
        <v>1.23</v>
      </c>
      <c r="F40" s="95">
        <v>1.26</v>
      </c>
      <c r="G40" s="15">
        <f t="shared" si="1"/>
        <v>-0.02380952381</v>
      </c>
      <c r="H40" s="36">
        <f t="shared" si="2"/>
        <v>0.9657024793</v>
      </c>
      <c r="I40" s="36" t="str">
        <f t="shared" si="3"/>
        <v>NO</v>
      </c>
    </row>
    <row r="41">
      <c r="A41" s="3" t="s">
        <v>295</v>
      </c>
      <c r="B41" s="3" t="s">
        <v>227</v>
      </c>
      <c r="C41" s="95">
        <v>7.0</v>
      </c>
      <c r="D41" s="3" t="s">
        <v>236</v>
      </c>
      <c r="E41" s="95">
        <v>7.6</v>
      </c>
      <c r="F41" s="95">
        <v>8.4</v>
      </c>
      <c r="G41" s="15">
        <f t="shared" si="1"/>
        <v>-0.1666666667</v>
      </c>
      <c r="H41" s="36">
        <f t="shared" si="2"/>
        <v>0.7964071856</v>
      </c>
      <c r="I41" s="36" t="str">
        <f t="shared" si="3"/>
        <v>NO</v>
      </c>
    </row>
    <row r="42">
      <c r="A42" s="3" t="s">
        <v>295</v>
      </c>
      <c r="B42" s="3" t="s">
        <v>300</v>
      </c>
      <c r="C42" s="95">
        <v>13.0</v>
      </c>
      <c r="D42" s="3" t="s">
        <v>301</v>
      </c>
      <c r="E42" s="95">
        <v>13.0</v>
      </c>
      <c r="F42" s="95">
        <v>15.0</v>
      </c>
      <c r="G42" s="15">
        <f t="shared" si="1"/>
        <v>-0.1333333333</v>
      </c>
      <c r="H42" s="36">
        <f t="shared" si="2"/>
        <v>0.8260869565</v>
      </c>
      <c r="I42" s="36" t="str">
        <f t="shared" si="3"/>
        <v>NO</v>
      </c>
    </row>
    <row r="43">
      <c r="A43" s="3"/>
      <c r="B43" s="3"/>
      <c r="C43" s="95"/>
      <c r="D43" s="3"/>
      <c r="E43" s="95"/>
      <c r="F43" s="95"/>
      <c r="G43" s="15" t="str">
        <f t="shared" si="1"/>
        <v/>
      </c>
      <c r="H43" s="36" t="str">
        <f t="shared" si="2"/>
        <v/>
      </c>
      <c r="I43" s="36" t="str">
        <f t="shared" si="3"/>
        <v/>
      </c>
    </row>
    <row r="44">
      <c r="A44" s="3"/>
      <c r="B44" s="3"/>
      <c r="C44" s="95"/>
      <c r="D44" s="3"/>
      <c r="E44" s="95"/>
      <c r="F44" s="95"/>
      <c r="G44" s="15" t="str">
        <f t="shared" si="1"/>
        <v/>
      </c>
      <c r="H44" s="36" t="str">
        <f t="shared" si="2"/>
        <v/>
      </c>
      <c r="I44" s="36" t="str">
        <f t="shared" si="3"/>
        <v/>
      </c>
    </row>
    <row r="45">
      <c r="A45" s="3"/>
      <c r="B45" s="3"/>
      <c r="C45" s="95"/>
      <c r="D45" s="3"/>
      <c r="E45" s="95"/>
      <c r="F45" s="95"/>
      <c r="G45" s="15" t="str">
        <f t="shared" si="1"/>
        <v/>
      </c>
      <c r="H45" s="36" t="str">
        <f t="shared" si="2"/>
        <v/>
      </c>
      <c r="I45" s="36" t="str">
        <f t="shared" si="3"/>
        <v/>
      </c>
    </row>
    <row r="46">
      <c r="A46" s="3"/>
      <c r="B46" s="3"/>
      <c r="C46" s="95"/>
      <c r="D46" s="3"/>
      <c r="E46" s="95"/>
      <c r="F46" s="95"/>
      <c r="G46" s="15" t="str">
        <f t="shared" si="1"/>
        <v/>
      </c>
      <c r="H46" s="36" t="str">
        <f t="shared" si="2"/>
        <v/>
      </c>
      <c r="I46" s="36" t="str">
        <f t="shared" si="3"/>
        <v/>
      </c>
    </row>
    <row r="47">
      <c r="A47" s="3"/>
      <c r="B47" s="3"/>
      <c r="C47" s="95"/>
      <c r="D47" s="3"/>
      <c r="E47" s="95"/>
      <c r="F47" s="95"/>
      <c r="G47" s="15" t="str">
        <f t="shared" si="1"/>
        <v/>
      </c>
      <c r="H47" s="36" t="str">
        <f t="shared" si="2"/>
        <v/>
      </c>
      <c r="I47" s="36" t="str">
        <f t="shared" si="3"/>
        <v/>
      </c>
    </row>
    <row r="48">
      <c r="A48" s="3"/>
      <c r="B48" s="3"/>
      <c r="C48" s="95"/>
      <c r="D48" s="3"/>
      <c r="E48" s="95"/>
      <c r="F48" s="95"/>
      <c r="G48" s="15" t="str">
        <f t="shared" si="1"/>
        <v/>
      </c>
      <c r="H48" s="36" t="str">
        <f t="shared" si="2"/>
        <v/>
      </c>
      <c r="I48" s="36" t="str">
        <f t="shared" si="3"/>
        <v/>
      </c>
    </row>
    <row r="49">
      <c r="A49" s="3"/>
      <c r="B49" s="3"/>
      <c r="C49" s="95"/>
      <c r="D49" s="3"/>
      <c r="E49" s="95"/>
      <c r="F49" s="95"/>
      <c r="G49" s="15" t="str">
        <f t="shared" si="1"/>
        <v/>
      </c>
      <c r="H49" s="36" t="str">
        <f t="shared" si="2"/>
        <v/>
      </c>
      <c r="I49" s="36" t="str">
        <f t="shared" si="3"/>
        <v/>
      </c>
    </row>
    <row r="50">
      <c r="A50" s="3"/>
      <c r="B50" s="3"/>
      <c r="C50" s="95"/>
      <c r="D50" s="3"/>
      <c r="E50" s="95"/>
      <c r="F50" s="95"/>
      <c r="G50" s="15" t="str">
        <f t="shared" si="1"/>
        <v/>
      </c>
      <c r="H50" s="36" t="str">
        <f t="shared" si="2"/>
        <v/>
      </c>
      <c r="I50" s="36" t="str">
        <f t="shared" si="3"/>
        <v/>
      </c>
    </row>
    <row r="51">
      <c r="A51" s="3"/>
      <c r="B51" s="3"/>
      <c r="C51" s="95"/>
      <c r="D51" s="3"/>
      <c r="E51" s="95"/>
      <c r="F51" s="95"/>
      <c r="G51" s="15" t="str">
        <f t="shared" si="1"/>
        <v/>
      </c>
      <c r="H51" s="36" t="str">
        <f t="shared" si="2"/>
        <v/>
      </c>
      <c r="I51" s="36" t="str">
        <f t="shared" si="3"/>
        <v/>
      </c>
    </row>
    <row r="52">
      <c r="A52" s="3"/>
      <c r="B52" s="3"/>
      <c r="C52" s="95"/>
      <c r="D52" s="3"/>
      <c r="E52" s="95"/>
      <c r="F52" s="95"/>
      <c r="G52" s="15" t="str">
        <f t="shared" si="1"/>
        <v/>
      </c>
      <c r="H52" s="36" t="str">
        <f t="shared" si="2"/>
        <v/>
      </c>
      <c r="I52" s="36" t="str">
        <f t="shared" si="3"/>
        <v/>
      </c>
    </row>
    <row r="53">
      <c r="A53" s="3"/>
      <c r="B53" s="3"/>
      <c r="C53" s="95"/>
      <c r="D53" s="3"/>
      <c r="E53" s="95"/>
      <c r="F53" s="95"/>
      <c r="G53" s="15" t="str">
        <f t="shared" si="1"/>
        <v/>
      </c>
      <c r="H53" s="36" t="str">
        <f t="shared" si="2"/>
        <v/>
      </c>
      <c r="I53" s="36" t="str">
        <f t="shared" si="3"/>
        <v/>
      </c>
    </row>
    <row r="54">
      <c r="A54" s="3"/>
      <c r="B54" s="3"/>
      <c r="C54" s="95"/>
      <c r="D54" s="3"/>
      <c r="E54" s="95"/>
      <c r="F54" s="95"/>
      <c r="G54" s="15" t="str">
        <f t="shared" si="1"/>
        <v/>
      </c>
      <c r="H54" s="36" t="str">
        <f t="shared" si="2"/>
        <v/>
      </c>
      <c r="I54" s="36" t="str">
        <f t="shared" si="3"/>
        <v/>
      </c>
    </row>
    <row r="55">
      <c r="A55" s="3"/>
      <c r="B55" s="3"/>
      <c r="C55" s="95"/>
      <c r="D55" s="3"/>
      <c r="E55" s="95"/>
      <c r="F55" s="95"/>
      <c r="G55" s="15" t="str">
        <f t="shared" si="1"/>
        <v/>
      </c>
      <c r="H55" s="36" t="str">
        <f t="shared" si="2"/>
        <v/>
      </c>
      <c r="I55" s="36" t="str">
        <f t="shared" si="3"/>
        <v/>
      </c>
    </row>
    <row r="56">
      <c r="A56" s="3"/>
      <c r="B56" s="3"/>
      <c r="C56" s="95"/>
      <c r="D56" s="3"/>
      <c r="E56" s="95"/>
      <c r="F56" s="95"/>
      <c r="G56" s="15" t="str">
        <f t="shared" si="1"/>
        <v/>
      </c>
      <c r="H56" s="36" t="str">
        <f t="shared" si="2"/>
        <v/>
      </c>
      <c r="I56" s="36" t="str">
        <f t="shared" si="3"/>
        <v/>
      </c>
    </row>
    <row r="57">
      <c r="A57" s="3"/>
      <c r="B57" s="3"/>
      <c r="C57" s="95"/>
      <c r="D57" s="3"/>
      <c r="E57" s="95"/>
      <c r="F57" s="95"/>
      <c r="G57" s="15" t="str">
        <f t="shared" si="1"/>
        <v/>
      </c>
      <c r="H57" s="36" t="str">
        <f t="shared" si="2"/>
        <v/>
      </c>
      <c r="I57" s="36" t="str">
        <f t="shared" si="3"/>
        <v/>
      </c>
    </row>
    <row r="58">
      <c r="A58" s="3"/>
      <c r="B58" s="3"/>
      <c r="C58" s="95"/>
      <c r="D58" s="3"/>
      <c r="E58" s="95"/>
      <c r="F58" s="95"/>
      <c r="G58" s="15" t="str">
        <f t="shared" si="1"/>
        <v/>
      </c>
      <c r="H58" s="36" t="str">
        <f t="shared" si="2"/>
        <v/>
      </c>
      <c r="I58" s="36" t="str">
        <f t="shared" si="3"/>
        <v/>
      </c>
    </row>
    <row r="59">
      <c r="A59" s="3"/>
      <c r="B59" s="3"/>
      <c r="C59" s="95"/>
      <c r="D59" s="3"/>
      <c r="E59" s="95"/>
      <c r="F59" s="95"/>
      <c r="G59" s="15" t="str">
        <f t="shared" si="1"/>
        <v/>
      </c>
      <c r="H59" s="36" t="str">
        <f t="shared" si="2"/>
        <v/>
      </c>
      <c r="I59" s="36" t="str">
        <f t="shared" si="3"/>
        <v/>
      </c>
    </row>
    <row r="60">
      <c r="A60" s="3"/>
      <c r="B60" s="3"/>
      <c r="C60" s="95"/>
      <c r="D60" s="3"/>
      <c r="E60" s="95"/>
      <c r="F60" s="95"/>
      <c r="G60" s="15" t="str">
        <f t="shared" si="1"/>
        <v/>
      </c>
      <c r="H60" s="36" t="str">
        <f t="shared" si="2"/>
        <v/>
      </c>
      <c r="I60" s="36" t="str">
        <f t="shared" si="3"/>
        <v/>
      </c>
    </row>
    <row r="61">
      <c r="A61" s="3"/>
      <c r="B61" s="3"/>
      <c r="C61" s="95"/>
      <c r="D61" s="3"/>
      <c r="E61" s="95"/>
      <c r="F61" s="95"/>
      <c r="G61" s="15" t="str">
        <f t="shared" si="1"/>
        <v/>
      </c>
      <c r="H61" s="36" t="str">
        <f t="shared" si="2"/>
        <v/>
      </c>
      <c r="I61" s="36" t="str">
        <f t="shared" si="3"/>
        <v/>
      </c>
    </row>
    <row r="62">
      <c r="A62" s="3"/>
      <c r="B62" s="3"/>
      <c r="C62" s="95"/>
      <c r="D62" s="3"/>
      <c r="E62" s="95"/>
      <c r="F62" s="95"/>
      <c r="G62" s="15" t="str">
        <f t="shared" si="1"/>
        <v/>
      </c>
      <c r="H62" s="36" t="str">
        <f t="shared" si="2"/>
        <v/>
      </c>
      <c r="I62" s="36" t="str">
        <f t="shared" si="3"/>
        <v/>
      </c>
    </row>
    <row r="63">
      <c r="A63" s="3"/>
      <c r="B63" s="3"/>
      <c r="C63" s="95"/>
      <c r="D63" s="3"/>
      <c r="E63" s="95"/>
      <c r="F63" s="95"/>
      <c r="G63" s="15" t="str">
        <f t="shared" si="1"/>
        <v/>
      </c>
      <c r="H63" s="36" t="str">
        <f t="shared" si="2"/>
        <v/>
      </c>
      <c r="I63" s="36" t="str">
        <f t="shared" si="3"/>
        <v/>
      </c>
    </row>
    <row r="64">
      <c r="A64" s="3"/>
      <c r="B64" s="3"/>
      <c r="C64" s="95"/>
    </row>
    <row r="65">
      <c r="A65" s="3"/>
      <c r="B65" s="3"/>
      <c r="C65" s="95"/>
    </row>
    <row r="66">
      <c r="A66" s="3"/>
      <c r="B66" s="3"/>
      <c r="C66" s="95"/>
    </row>
    <row r="67">
      <c r="A67" s="3"/>
      <c r="B67" s="3"/>
      <c r="C67" s="95"/>
    </row>
    <row r="68">
      <c r="A68" s="3"/>
      <c r="B68" s="3"/>
      <c r="C68" s="95"/>
    </row>
    <row r="69">
      <c r="A69" s="3"/>
      <c r="B69" s="3"/>
      <c r="C69" s="95"/>
    </row>
    <row r="70">
      <c r="A70" s="3"/>
      <c r="B70" s="3"/>
      <c r="C70" s="95"/>
    </row>
    <row r="71">
      <c r="A71" s="3"/>
      <c r="B71" s="3"/>
      <c r="C71" s="95"/>
    </row>
    <row r="72">
      <c r="A72" s="3"/>
      <c r="B72" s="3"/>
      <c r="C72" s="95"/>
    </row>
    <row r="73">
      <c r="A73" s="3"/>
      <c r="B73" s="3"/>
      <c r="C73" s="95"/>
    </row>
    <row r="74">
      <c r="A74" s="3"/>
      <c r="B74" s="3"/>
      <c r="C74" s="95"/>
    </row>
    <row r="75">
      <c r="A75" s="3"/>
      <c r="B75" s="3"/>
      <c r="C75" s="95"/>
    </row>
    <row r="76">
      <c r="A76" s="3"/>
      <c r="B76" s="3"/>
      <c r="C76" s="95"/>
    </row>
    <row r="77">
      <c r="A77" s="3"/>
      <c r="B77" s="3"/>
      <c r="C77" s="95"/>
    </row>
    <row r="78">
      <c r="A78" s="3"/>
      <c r="B78" s="3"/>
      <c r="C78" s="95"/>
    </row>
    <row r="79">
      <c r="A79" s="3"/>
      <c r="B79" s="3"/>
      <c r="C79" s="95"/>
    </row>
    <row r="80">
      <c r="A80" s="3"/>
      <c r="B80" s="3"/>
      <c r="C80" s="95"/>
    </row>
    <row r="81">
      <c r="A81" s="3"/>
      <c r="B81" s="3"/>
      <c r="C81" s="95"/>
    </row>
    <row r="82">
      <c r="A82" s="3"/>
      <c r="B82" s="3"/>
      <c r="C82" s="95"/>
    </row>
    <row r="83">
      <c r="A83" s="3"/>
      <c r="B83" s="3"/>
      <c r="C83" s="95"/>
    </row>
    <row r="84">
      <c r="A84" s="3"/>
      <c r="B84" s="3"/>
      <c r="C84" s="95"/>
    </row>
    <row r="85">
      <c r="A85" s="3"/>
      <c r="B85" s="3"/>
      <c r="C85" s="95"/>
    </row>
    <row r="86">
      <c r="A86" s="3"/>
      <c r="B86" s="3"/>
      <c r="C86" s="95"/>
    </row>
    <row r="87">
      <c r="A87" s="3"/>
      <c r="B87" s="3"/>
      <c r="C87" s="95"/>
    </row>
    <row r="88">
      <c r="A88" s="3"/>
      <c r="B88" s="3"/>
      <c r="C88" s="95"/>
    </row>
    <row r="89">
      <c r="A89" s="3"/>
      <c r="B89" s="3"/>
      <c r="C89" s="95"/>
    </row>
    <row r="90">
      <c r="A90" s="3"/>
      <c r="B90" s="3"/>
      <c r="C90" s="95"/>
    </row>
    <row r="91">
      <c r="A91" s="3"/>
      <c r="B91" s="3"/>
      <c r="C91" s="95"/>
    </row>
    <row r="92">
      <c r="A92" s="3"/>
      <c r="B92" s="3"/>
      <c r="C92" s="95"/>
    </row>
    <row r="93">
      <c r="A93" s="3"/>
      <c r="B93" s="3"/>
      <c r="C93" s="95"/>
    </row>
    <row r="94">
      <c r="A94" s="3"/>
      <c r="B94" s="3"/>
      <c r="C94" s="95"/>
    </row>
    <row r="95">
      <c r="A95" s="3"/>
      <c r="B95" s="3"/>
      <c r="C95" s="95"/>
    </row>
    <row r="96">
      <c r="A96" s="3"/>
      <c r="B96" s="3"/>
      <c r="C96" s="95"/>
    </row>
    <row r="97">
      <c r="A97" s="3"/>
      <c r="B97" s="3"/>
      <c r="C97" s="95"/>
    </row>
    <row r="98">
      <c r="A98" s="3"/>
      <c r="B98" s="3"/>
      <c r="C98" s="95"/>
    </row>
    <row r="99">
      <c r="A99" s="3"/>
      <c r="B99" s="3"/>
      <c r="C99" s="95"/>
    </row>
    <row r="100">
      <c r="A100" s="3"/>
      <c r="B100" s="3"/>
      <c r="C100" s="95"/>
    </row>
    <row r="101">
      <c r="A101" s="3"/>
      <c r="B101" s="3"/>
      <c r="C101" s="95"/>
    </row>
    <row r="102">
      <c r="A102" s="3"/>
      <c r="B102" s="3"/>
      <c r="C102" s="95"/>
    </row>
    <row r="103">
      <c r="A103" s="3"/>
      <c r="B103" s="3"/>
      <c r="C103" s="95"/>
    </row>
    <row r="104">
      <c r="A104" s="3"/>
      <c r="B104" s="3"/>
      <c r="C104" s="95"/>
    </row>
    <row r="105">
      <c r="A105" s="3"/>
      <c r="B105" s="3"/>
      <c r="C105" s="95"/>
    </row>
    <row r="106">
      <c r="A106" s="3"/>
      <c r="B106" s="3"/>
      <c r="C106" s="95"/>
    </row>
    <row r="107">
      <c r="A107" s="3"/>
      <c r="B107" s="3"/>
      <c r="C107" s="95"/>
    </row>
    <row r="108">
      <c r="A108" s="3"/>
      <c r="B108" s="3"/>
      <c r="C108" s="95"/>
    </row>
    <row r="109">
      <c r="A109" s="3"/>
      <c r="B109" s="3"/>
      <c r="C109" s="95"/>
    </row>
    <row r="110">
      <c r="A110" s="3"/>
      <c r="B110" s="3"/>
      <c r="C110" s="95"/>
    </row>
    <row r="111">
      <c r="A111" s="3"/>
      <c r="B111" s="3"/>
      <c r="C111" s="95"/>
    </row>
    <row r="112">
      <c r="A112" s="3"/>
      <c r="B112" s="3"/>
      <c r="C112" s="95"/>
      <c r="D112" s="3"/>
    </row>
    <row r="113">
      <c r="A113" s="3"/>
      <c r="B113" s="3"/>
      <c r="C113" s="95"/>
    </row>
    <row r="114">
      <c r="A114" s="3"/>
      <c r="B114" s="3"/>
      <c r="C114" s="95"/>
      <c r="D114" s="3"/>
    </row>
    <row r="115">
      <c r="A115" s="3"/>
      <c r="B115" s="3"/>
      <c r="C115" s="95"/>
      <c r="D115" s="3"/>
    </row>
    <row r="116">
      <c r="A116" s="3"/>
      <c r="B116" s="3"/>
      <c r="C116" s="95"/>
    </row>
    <row r="117">
      <c r="A117" s="3"/>
      <c r="B117" s="3"/>
      <c r="C117" s="95"/>
      <c r="D117" s="3"/>
    </row>
    <row r="118">
      <c r="A118" s="3"/>
      <c r="B118" s="3"/>
      <c r="C118" s="95"/>
      <c r="D118" s="3"/>
    </row>
    <row r="119">
      <c r="A119" s="3"/>
      <c r="B119" s="3"/>
      <c r="C119" s="95"/>
    </row>
    <row r="120">
      <c r="A120" s="3"/>
      <c r="B120" s="3"/>
      <c r="C120" s="95"/>
      <c r="D120" s="3"/>
    </row>
    <row r="121">
      <c r="A121" s="3"/>
      <c r="B121" s="3"/>
      <c r="C121" s="95"/>
      <c r="D121" s="3"/>
    </row>
    <row r="122">
      <c r="A122" s="3"/>
      <c r="B122" s="3"/>
      <c r="C122" s="95"/>
    </row>
    <row r="123">
      <c r="A123" s="3"/>
      <c r="B123" s="3"/>
      <c r="C123" s="95"/>
      <c r="D123" s="3"/>
    </row>
    <row r="124">
      <c r="A124" s="3"/>
      <c r="B124" s="3"/>
      <c r="C124" s="95"/>
      <c r="D124" s="3"/>
    </row>
    <row r="125">
      <c r="A125" s="3"/>
      <c r="B125" s="3"/>
      <c r="C125" s="95"/>
    </row>
    <row r="126">
      <c r="A126" s="3"/>
      <c r="B126" s="3"/>
      <c r="C126" s="95"/>
      <c r="D126" s="3"/>
    </row>
    <row r="127">
      <c r="A127" s="3"/>
      <c r="B127" s="3"/>
      <c r="C127" s="95"/>
    </row>
    <row r="128">
      <c r="A128" s="3"/>
      <c r="B128" s="3"/>
      <c r="C128" s="95"/>
    </row>
    <row r="129">
      <c r="A129" s="3"/>
      <c r="B129" s="3"/>
      <c r="C129" s="95"/>
    </row>
    <row r="130">
      <c r="A130" s="3"/>
      <c r="B130" s="3"/>
      <c r="C130" s="95"/>
    </row>
    <row r="131">
      <c r="A131" s="3"/>
      <c r="B131" s="3"/>
      <c r="C131" s="95"/>
    </row>
    <row r="132">
      <c r="A132" s="3"/>
      <c r="B132" s="3"/>
      <c r="C132" s="95"/>
    </row>
    <row r="133">
      <c r="A133" s="3"/>
      <c r="B133" s="3"/>
      <c r="C133" s="95"/>
    </row>
    <row r="134">
      <c r="A134" s="3"/>
      <c r="B134" s="3"/>
      <c r="C134" s="95"/>
    </row>
    <row r="135">
      <c r="A135" s="3"/>
      <c r="B135" s="3"/>
      <c r="C135" s="95"/>
    </row>
    <row r="136">
      <c r="A136" s="3"/>
      <c r="B136" s="3"/>
      <c r="C136" s="95"/>
      <c r="D136" s="3"/>
    </row>
    <row r="137">
      <c r="A137" s="3"/>
      <c r="B137" s="3"/>
      <c r="C137" s="95"/>
    </row>
    <row r="138">
      <c r="A138" s="3"/>
      <c r="B138" s="3"/>
      <c r="C138" s="95"/>
      <c r="D138" s="3"/>
    </row>
    <row r="139">
      <c r="A139" s="3"/>
      <c r="B139" s="3"/>
      <c r="C139" s="95"/>
    </row>
    <row r="140">
      <c r="A140" s="3"/>
      <c r="B140" s="3"/>
      <c r="C140" s="95"/>
    </row>
    <row r="141">
      <c r="A141" s="3"/>
      <c r="B141" s="3"/>
      <c r="C141" s="95"/>
    </row>
    <row r="142">
      <c r="A142" s="3"/>
      <c r="B142" s="3"/>
      <c r="C142" s="95"/>
    </row>
    <row r="143">
      <c r="A143" s="3"/>
      <c r="B143" s="3"/>
      <c r="C143" s="95"/>
    </row>
    <row r="144">
      <c r="A144" s="3"/>
      <c r="B144" s="3"/>
      <c r="C144" s="95"/>
    </row>
    <row r="145">
      <c r="A145" s="3"/>
      <c r="B145" s="3"/>
      <c r="C145" s="95"/>
    </row>
    <row r="146">
      <c r="A146" s="3"/>
      <c r="B146" s="3"/>
      <c r="C146" s="95"/>
    </row>
    <row r="147">
      <c r="A147" s="3"/>
      <c r="B147" s="3"/>
      <c r="C147" s="95"/>
    </row>
    <row r="148">
      <c r="A148" s="3"/>
      <c r="B148" s="3"/>
      <c r="C148" s="95"/>
    </row>
    <row r="149">
      <c r="A149" s="3"/>
      <c r="B149" s="3"/>
      <c r="C149" s="95"/>
    </row>
    <row r="150">
      <c r="A150" s="3"/>
      <c r="B150" s="3"/>
      <c r="C150" s="95"/>
    </row>
    <row r="151">
      <c r="A151" s="3"/>
      <c r="B151" s="3"/>
      <c r="C151" s="95"/>
      <c r="D151" s="3"/>
    </row>
    <row r="152">
      <c r="A152" s="3"/>
      <c r="B152" s="3"/>
      <c r="C152" s="95"/>
    </row>
    <row r="153">
      <c r="A153" s="3"/>
      <c r="B153" s="3"/>
      <c r="C153" s="95"/>
      <c r="D153" s="3"/>
    </row>
    <row r="154">
      <c r="A154" s="3"/>
      <c r="B154" s="3"/>
      <c r="C154" s="95"/>
    </row>
    <row r="155">
      <c r="A155" s="3"/>
      <c r="B155" s="3"/>
      <c r="C155" s="95"/>
    </row>
    <row r="156">
      <c r="A156" s="3"/>
      <c r="B156" s="3"/>
      <c r="C156" s="95"/>
    </row>
    <row r="157">
      <c r="A157" s="3"/>
      <c r="B157" s="3"/>
      <c r="C157" s="95"/>
    </row>
    <row r="158">
      <c r="A158" s="3"/>
      <c r="B158" s="3"/>
      <c r="C158" s="95"/>
    </row>
    <row r="159">
      <c r="A159" s="3"/>
      <c r="B159" s="3"/>
      <c r="C159" s="95"/>
    </row>
    <row r="160">
      <c r="A160" s="3"/>
      <c r="B160" s="3"/>
      <c r="C160" s="95"/>
    </row>
    <row r="161">
      <c r="A161" s="3"/>
      <c r="B161" s="3"/>
      <c r="C161" s="95"/>
    </row>
    <row r="162">
      <c r="A162" s="3"/>
      <c r="B162" s="3"/>
      <c r="C162" s="95"/>
    </row>
    <row r="163">
      <c r="A163" s="3"/>
      <c r="B163" s="3"/>
      <c r="C163" s="95"/>
    </row>
    <row r="164">
      <c r="A164" s="3"/>
      <c r="B164" s="3"/>
      <c r="C164" s="95"/>
    </row>
    <row r="165">
      <c r="A165" s="3"/>
      <c r="B165" s="3"/>
      <c r="C165" s="95"/>
    </row>
    <row r="166">
      <c r="A166" s="3"/>
      <c r="B166" s="3"/>
      <c r="C166" s="95"/>
    </row>
    <row r="167">
      <c r="A167" s="3"/>
      <c r="B167" s="3"/>
      <c r="C167" s="95"/>
    </row>
    <row r="168">
      <c r="A168" s="3"/>
      <c r="B168" s="3"/>
      <c r="C168" s="95"/>
    </row>
    <row r="169">
      <c r="A169" s="3"/>
      <c r="B169" s="3"/>
      <c r="C169" s="95"/>
    </row>
    <row r="170">
      <c r="A170" s="3"/>
      <c r="B170" s="3"/>
      <c r="C170" s="95"/>
    </row>
    <row r="171">
      <c r="A171" s="3"/>
      <c r="B171" s="3"/>
      <c r="C171" s="95"/>
    </row>
    <row r="172">
      <c r="A172" s="3"/>
      <c r="B172" s="3"/>
      <c r="C172" s="95"/>
    </row>
    <row r="173">
      <c r="A173" s="3"/>
      <c r="B173" s="3"/>
      <c r="C173" s="95"/>
    </row>
    <row r="174">
      <c r="A174" s="3"/>
      <c r="B174" s="3"/>
      <c r="C174" s="95"/>
    </row>
    <row r="175">
      <c r="A175" s="3"/>
      <c r="B175" s="3"/>
      <c r="C175" s="95"/>
    </row>
    <row r="176">
      <c r="A176" s="3"/>
      <c r="B176" s="3"/>
      <c r="C176" s="95"/>
    </row>
    <row r="177">
      <c r="A177" s="3"/>
      <c r="B177" s="3"/>
      <c r="C177" s="95"/>
    </row>
    <row r="178">
      <c r="A178" s="3"/>
      <c r="B178" s="3"/>
      <c r="C178" s="95"/>
    </row>
    <row r="179">
      <c r="A179" s="3"/>
      <c r="B179" s="3"/>
      <c r="C179" s="95"/>
    </row>
    <row r="180">
      <c r="A180" s="3"/>
      <c r="B180" s="3"/>
      <c r="C180" s="95"/>
    </row>
    <row r="181">
      <c r="A181" s="3"/>
      <c r="B181" s="3"/>
      <c r="C181" s="95"/>
    </row>
    <row r="182">
      <c r="A182" s="3"/>
      <c r="B182" s="3"/>
      <c r="C182" s="95"/>
    </row>
    <row r="183">
      <c r="A183" s="3"/>
      <c r="B183" s="3"/>
      <c r="C183" s="95"/>
    </row>
    <row r="184">
      <c r="A184" s="3"/>
      <c r="B184" s="3"/>
      <c r="C184" s="95"/>
    </row>
    <row r="185">
      <c r="A185" s="3"/>
      <c r="B185" s="3"/>
      <c r="C185" s="95"/>
    </row>
    <row r="186">
      <c r="A186" s="3"/>
      <c r="B186" s="3"/>
      <c r="C186" s="95"/>
    </row>
    <row r="187">
      <c r="A187" s="3"/>
      <c r="B187" s="3"/>
      <c r="C187" s="95"/>
    </row>
    <row r="188">
      <c r="A188" s="3"/>
      <c r="B188" s="3"/>
      <c r="C188" s="95"/>
    </row>
    <row r="189">
      <c r="A189" s="3"/>
      <c r="B189" s="3"/>
      <c r="C189" s="95"/>
    </row>
    <row r="190">
      <c r="A190" s="3"/>
      <c r="B190" s="3"/>
      <c r="C190" s="95"/>
    </row>
    <row r="191">
      <c r="A191" s="3"/>
      <c r="B191" s="3"/>
      <c r="C191" s="95"/>
    </row>
    <row r="192">
      <c r="A192" s="3"/>
      <c r="B192" s="3"/>
      <c r="C192" s="95"/>
    </row>
    <row r="193">
      <c r="A193" s="3"/>
      <c r="B193" s="3"/>
      <c r="C193" s="95"/>
    </row>
    <row r="194">
      <c r="A194" s="3"/>
      <c r="B194" s="3"/>
      <c r="C194" s="95"/>
    </row>
    <row r="195">
      <c r="A195" s="3"/>
      <c r="B195" s="3"/>
      <c r="C195" s="95"/>
    </row>
    <row r="196">
      <c r="A196" s="3"/>
      <c r="B196" s="3"/>
      <c r="C196" s="95"/>
    </row>
    <row r="197">
      <c r="A197" s="3"/>
      <c r="B197" s="3"/>
      <c r="C197" s="95"/>
    </row>
    <row r="198">
      <c r="A198" s="3"/>
      <c r="B198" s="3"/>
      <c r="C198" s="95"/>
    </row>
    <row r="199">
      <c r="A199" s="3"/>
      <c r="B199" s="3"/>
      <c r="C199" s="95"/>
      <c r="D199" s="3"/>
    </row>
    <row r="200">
      <c r="A200" s="3"/>
      <c r="B200" s="3"/>
      <c r="C200" s="95"/>
    </row>
    <row r="201">
      <c r="A201" s="3"/>
      <c r="B201" s="3"/>
      <c r="C201" s="95"/>
      <c r="D201" s="3"/>
    </row>
    <row r="202">
      <c r="A202" s="3"/>
      <c r="B202" s="3"/>
      <c r="C202" s="95"/>
    </row>
    <row r="203">
      <c r="A203" s="3"/>
      <c r="B203" s="3"/>
      <c r="C203" s="95"/>
    </row>
    <row r="204">
      <c r="A204" s="3"/>
      <c r="B204" s="3"/>
      <c r="C204" s="95"/>
    </row>
    <row r="205">
      <c r="A205" s="3"/>
      <c r="B205" s="3"/>
      <c r="C205" s="95"/>
    </row>
    <row r="206">
      <c r="A206" s="3"/>
      <c r="B206" s="3"/>
      <c r="C206" s="95"/>
    </row>
    <row r="207">
      <c r="A207" s="3"/>
      <c r="B207" s="3"/>
      <c r="C207" s="95"/>
    </row>
    <row r="208">
      <c r="A208" s="3"/>
      <c r="B208" s="3"/>
      <c r="C208" s="95"/>
    </row>
    <row r="209">
      <c r="A209" s="3"/>
      <c r="B209" s="3"/>
      <c r="C209" s="95"/>
    </row>
    <row r="210">
      <c r="A210" s="3"/>
      <c r="B210" s="3"/>
      <c r="C210" s="95"/>
    </row>
    <row r="211">
      <c r="A211" s="3"/>
      <c r="B211" s="3"/>
      <c r="C211" s="95"/>
    </row>
    <row r="212">
      <c r="A212" s="3"/>
      <c r="B212" s="3"/>
      <c r="C212" s="95"/>
    </row>
    <row r="213">
      <c r="A213" s="3"/>
      <c r="B213" s="3"/>
      <c r="C213" s="95"/>
    </row>
    <row r="214">
      <c r="A214" s="3"/>
      <c r="B214" s="3"/>
      <c r="C214" s="95"/>
    </row>
    <row r="215">
      <c r="A215" s="3"/>
      <c r="B215" s="3"/>
      <c r="C215" s="95"/>
    </row>
    <row r="216">
      <c r="A216" s="3"/>
      <c r="B216" s="3"/>
      <c r="C216" s="95"/>
    </row>
    <row r="217">
      <c r="A217" s="3"/>
      <c r="B217" s="3"/>
      <c r="C217" s="95"/>
    </row>
    <row r="218">
      <c r="A218" s="3"/>
      <c r="B218" s="3"/>
      <c r="C218" s="95"/>
    </row>
    <row r="219">
      <c r="A219" s="3"/>
      <c r="B219" s="3"/>
      <c r="C219" s="95"/>
    </row>
    <row r="220">
      <c r="A220" s="3"/>
      <c r="B220" s="3"/>
      <c r="C220" s="95"/>
    </row>
    <row r="221">
      <c r="A221" s="3"/>
      <c r="B221" s="3"/>
      <c r="C221" s="95"/>
    </row>
    <row r="222">
      <c r="A222" s="3"/>
      <c r="B222" s="3"/>
      <c r="C222" s="95"/>
    </row>
    <row r="223">
      <c r="A223" s="3"/>
      <c r="B223" s="3"/>
      <c r="C223" s="95"/>
    </row>
    <row r="224">
      <c r="A224" s="3"/>
      <c r="B224" s="3"/>
      <c r="C224" s="95"/>
    </row>
    <row r="225">
      <c r="A225" s="3"/>
      <c r="B225" s="3"/>
      <c r="C225" s="95"/>
    </row>
    <row r="226">
      <c r="A226" s="3"/>
      <c r="B226" s="3"/>
      <c r="C226" s="95"/>
    </row>
    <row r="227">
      <c r="A227" s="3"/>
      <c r="B227" s="3"/>
      <c r="C227" s="95"/>
    </row>
    <row r="228">
      <c r="A228" s="3"/>
      <c r="B228" s="3"/>
      <c r="C228" s="95"/>
    </row>
    <row r="229">
      <c r="A229" s="3"/>
      <c r="B229" s="3"/>
      <c r="C229" s="95"/>
    </row>
    <row r="230">
      <c r="A230" s="3"/>
      <c r="B230" s="3"/>
      <c r="C230" s="95"/>
    </row>
    <row r="231">
      <c r="A231" s="3"/>
      <c r="B231" s="3"/>
      <c r="C231" s="95"/>
    </row>
    <row r="232">
      <c r="A232" s="3"/>
      <c r="B232" s="3"/>
      <c r="C232" s="95"/>
    </row>
    <row r="233">
      <c r="A233" s="3"/>
      <c r="B233" s="3"/>
      <c r="C233" s="95"/>
    </row>
    <row r="234">
      <c r="A234" s="3"/>
      <c r="B234" s="3"/>
      <c r="C234" s="95"/>
    </row>
    <row r="235">
      <c r="A235" s="3"/>
      <c r="B235" s="3"/>
      <c r="C235" s="95"/>
    </row>
    <row r="236">
      <c r="A236" s="3"/>
      <c r="B236" s="3"/>
      <c r="C236" s="95"/>
    </row>
    <row r="237">
      <c r="A237" s="3"/>
      <c r="B237" s="3"/>
      <c r="C237" s="95"/>
    </row>
    <row r="238">
      <c r="A238" s="3"/>
      <c r="B238" s="3"/>
      <c r="C238" s="95"/>
    </row>
    <row r="239">
      <c r="A239" s="3"/>
      <c r="B239" s="3"/>
      <c r="C239" s="95"/>
    </row>
    <row r="240">
      <c r="A240" s="3"/>
      <c r="B240" s="3"/>
      <c r="C240" s="95"/>
    </row>
    <row r="241">
      <c r="A241" s="3"/>
      <c r="B241" s="3"/>
      <c r="C241" s="95"/>
    </row>
    <row r="242">
      <c r="A242" s="3"/>
      <c r="B242" s="3"/>
      <c r="C242" s="95"/>
    </row>
    <row r="243">
      <c r="A243" s="3"/>
      <c r="B243" s="3"/>
      <c r="C243" s="95"/>
    </row>
    <row r="244">
      <c r="A244" s="3"/>
      <c r="B244" s="3"/>
      <c r="C244" s="95"/>
      <c r="D244" s="3"/>
    </row>
    <row r="245">
      <c r="A245" s="3"/>
      <c r="B245" s="3"/>
      <c r="C245" s="95"/>
    </row>
    <row r="246">
      <c r="A246" s="3"/>
      <c r="B246" s="3"/>
      <c r="C246" s="95"/>
      <c r="D246" s="3"/>
    </row>
    <row r="247">
      <c r="A247" s="3"/>
      <c r="B247" s="3"/>
      <c r="C247" s="95"/>
    </row>
    <row r="248">
      <c r="A248" s="3"/>
      <c r="B248" s="3"/>
      <c r="C248" s="95"/>
    </row>
    <row r="249">
      <c r="A249" s="3"/>
      <c r="B249" s="3"/>
      <c r="C249" s="95"/>
    </row>
    <row r="250">
      <c r="A250" s="3"/>
      <c r="B250" s="3"/>
      <c r="C250" s="95"/>
    </row>
    <row r="251">
      <c r="A251" s="3"/>
      <c r="B251" s="3"/>
      <c r="C251" s="95"/>
    </row>
    <row r="252">
      <c r="A252" s="3"/>
      <c r="B252" s="3"/>
      <c r="C252" s="95"/>
    </row>
    <row r="253">
      <c r="A253" s="3"/>
      <c r="B253" s="3"/>
      <c r="C253" s="95"/>
    </row>
    <row r="254">
      <c r="A254" s="3"/>
      <c r="B254" s="3"/>
      <c r="C254" s="95"/>
    </row>
    <row r="255">
      <c r="A255" s="3"/>
      <c r="B255" s="3"/>
      <c r="C255" s="95"/>
    </row>
    <row r="256">
      <c r="A256" s="3"/>
      <c r="B256" s="3"/>
      <c r="C256" s="95"/>
    </row>
    <row r="257">
      <c r="A257" s="3"/>
      <c r="B257" s="3"/>
      <c r="C257" s="95"/>
    </row>
    <row r="258">
      <c r="A258" s="3"/>
      <c r="B258" s="3"/>
      <c r="C258" s="95"/>
    </row>
    <row r="259">
      <c r="A259" s="3"/>
      <c r="B259" s="3"/>
      <c r="C259" s="95"/>
    </row>
    <row r="260">
      <c r="A260" s="3"/>
      <c r="B260" s="3"/>
      <c r="C260" s="95"/>
    </row>
    <row r="261">
      <c r="A261" s="3"/>
      <c r="B261" s="3"/>
      <c r="C261" s="95"/>
    </row>
    <row r="262">
      <c r="A262" s="3"/>
      <c r="B262" s="3"/>
      <c r="C262" s="95"/>
    </row>
    <row r="263">
      <c r="A263" s="3"/>
      <c r="B263" s="3"/>
      <c r="C263" s="95"/>
    </row>
    <row r="264">
      <c r="A264" s="3"/>
      <c r="B264" s="3"/>
      <c r="C264" s="95"/>
    </row>
    <row r="265">
      <c r="A265" s="3"/>
      <c r="B265" s="3"/>
      <c r="C265" s="95"/>
    </row>
    <row r="266">
      <c r="A266" s="3"/>
      <c r="B266" s="3"/>
      <c r="C266" s="95"/>
    </row>
    <row r="267">
      <c r="A267" s="3"/>
      <c r="B267" s="3"/>
      <c r="C267" s="95"/>
    </row>
    <row r="268">
      <c r="A268" s="3"/>
      <c r="B268" s="3"/>
      <c r="C268" s="95"/>
    </row>
    <row r="269">
      <c r="A269" s="3"/>
      <c r="B269" s="3"/>
      <c r="C269" s="95"/>
    </row>
    <row r="270">
      <c r="A270" s="3"/>
      <c r="B270" s="3"/>
      <c r="C270" s="95"/>
    </row>
    <row r="271">
      <c r="A271" s="3"/>
      <c r="B271" s="3"/>
      <c r="C271" s="95"/>
    </row>
    <row r="272">
      <c r="A272" s="3"/>
      <c r="B272" s="3"/>
      <c r="C272" s="95"/>
    </row>
    <row r="273">
      <c r="A273" s="3"/>
      <c r="B273" s="3"/>
      <c r="C273" s="95"/>
    </row>
    <row r="274">
      <c r="A274" s="3"/>
      <c r="B274" s="3"/>
      <c r="C274" s="95"/>
    </row>
    <row r="275">
      <c r="A275" s="3"/>
      <c r="B275" s="3"/>
      <c r="C275" s="95"/>
    </row>
    <row r="276">
      <c r="A276" s="3"/>
      <c r="B276" s="3"/>
      <c r="C276" s="95"/>
    </row>
    <row r="277">
      <c r="A277" s="3"/>
      <c r="B277" s="3"/>
      <c r="C277" s="95"/>
    </row>
    <row r="278">
      <c r="A278" s="3"/>
      <c r="B278" s="3"/>
      <c r="C278" s="95"/>
    </row>
    <row r="279">
      <c r="A279" s="3"/>
      <c r="B279" s="3"/>
      <c r="C279" s="95"/>
    </row>
    <row r="280">
      <c r="A280" s="3"/>
      <c r="B280" s="3"/>
      <c r="C280" s="95"/>
    </row>
    <row r="281">
      <c r="A281" s="3"/>
      <c r="B281" s="3"/>
      <c r="C281" s="95"/>
    </row>
    <row r="282">
      <c r="A282" s="3"/>
      <c r="B282" s="3"/>
      <c r="C282" s="95"/>
    </row>
    <row r="283">
      <c r="A283" s="3"/>
      <c r="B283" s="3"/>
      <c r="C283" s="95"/>
    </row>
    <row r="284">
      <c r="A284" s="3"/>
      <c r="B284" s="3"/>
      <c r="C284" s="95"/>
    </row>
    <row r="285">
      <c r="A285" s="3"/>
      <c r="B285" s="3"/>
      <c r="C285" s="95"/>
    </row>
    <row r="286">
      <c r="A286" s="3"/>
      <c r="B286" s="3"/>
      <c r="C286" s="95"/>
      <c r="D286" s="3"/>
    </row>
    <row r="287">
      <c r="A287" s="3"/>
      <c r="B287" s="3"/>
      <c r="C287" s="95"/>
    </row>
    <row r="288">
      <c r="A288" s="3"/>
      <c r="B288" s="3"/>
      <c r="C288" s="95"/>
      <c r="D288" s="3"/>
    </row>
    <row r="289">
      <c r="A289" s="3"/>
      <c r="B289" s="3"/>
      <c r="C289" s="95"/>
    </row>
    <row r="290">
      <c r="A290" s="3"/>
      <c r="B290" s="3"/>
      <c r="C290" s="95"/>
    </row>
    <row r="291">
      <c r="A291" s="3"/>
      <c r="B291" s="3"/>
      <c r="C291" s="95"/>
    </row>
    <row r="292">
      <c r="A292" s="3"/>
      <c r="B292" s="3"/>
      <c r="C292" s="95"/>
    </row>
    <row r="293">
      <c r="A293" s="3"/>
      <c r="B293" s="3"/>
      <c r="C293" s="95"/>
    </row>
    <row r="294">
      <c r="A294" s="3"/>
      <c r="B294" s="3"/>
      <c r="C294" s="95"/>
    </row>
    <row r="295">
      <c r="A295" s="3"/>
      <c r="B295" s="3"/>
      <c r="C295" s="95"/>
    </row>
    <row r="296">
      <c r="A296" s="3"/>
      <c r="B296" s="3"/>
      <c r="C296" s="95"/>
    </row>
    <row r="297">
      <c r="A297" s="3"/>
      <c r="B297" s="3"/>
      <c r="C297" s="95"/>
    </row>
    <row r="298">
      <c r="A298" s="3"/>
      <c r="B298" s="3"/>
      <c r="C298" s="95"/>
    </row>
    <row r="299">
      <c r="A299" s="3"/>
      <c r="B299" s="3"/>
      <c r="C299" s="95"/>
    </row>
    <row r="300">
      <c r="A300" s="3"/>
      <c r="B300" s="3"/>
      <c r="C300" s="95"/>
    </row>
    <row r="301">
      <c r="A301" s="3"/>
      <c r="B301" s="3"/>
      <c r="C301" s="95"/>
    </row>
    <row r="302">
      <c r="A302" s="3"/>
      <c r="B302" s="3"/>
      <c r="C302" s="95"/>
    </row>
    <row r="303">
      <c r="A303" s="3"/>
      <c r="B303" s="3"/>
      <c r="C303" s="95"/>
    </row>
    <row r="304">
      <c r="A304" s="3"/>
      <c r="B304" s="3"/>
      <c r="C304" s="95"/>
    </row>
    <row r="305">
      <c r="A305" s="3"/>
      <c r="B305" s="3"/>
      <c r="C305" s="95"/>
    </row>
    <row r="306">
      <c r="A306" s="3"/>
      <c r="B306" s="3"/>
      <c r="C306" s="95"/>
    </row>
    <row r="307">
      <c r="A307" s="3"/>
      <c r="B307" s="3"/>
      <c r="C307" s="95"/>
    </row>
    <row r="308">
      <c r="A308" s="3"/>
      <c r="B308" s="3"/>
      <c r="C308" s="95"/>
    </row>
    <row r="309">
      <c r="A309" s="3"/>
      <c r="B309" s="3"/>
      <c r="C309" s="95"/>
    </row>
    <row r="310">
      <c r="A310" s="3"/>
      <c r="B310" s="3"/>
      <c r="C310" s="95"/>
    </row>
    <row r="311">
      <c r="A311" s="3"/>
      <c r="B311" s="3"/>
      <c r="C311" s="95"/>
    </row>
    <row r="312">
      <c r="A312" s="3"/>
      <c r="B312" s="3"/>
      <c r="C312" s="95"/>
    </row>
    <row r="313">
      <c r="A313" s="3"/>
      <c r="B313" s="3"/>
      <c r="C313" s="95"/>
    </row>
    <row r="314">
      <c r="A314" s="3"/>
      <c r="B314" s="3"/>
      <c r="C314" s="95"/>
    </row>
    <row r="315">
      <c r="A315" s="3"/>
      <c r="B315" s="3"/>
      <c r="C315" s="95"/>
    </row>
    <row r="316">
      <c r="A316" s="3"/>
      <c r="B316" s="3"/>
      <c r="C316" s="95"/>
    </row>
    <row r="317">
      <c r="A317" s="3"/>
      <c r="B317" s="3"/>
      <c r="C317" s="95"/>
    </row>
    <row r="318">
      <c r="A318" s="3"/>
      <c r="B318" s="3"/>
      <c r="C318" s="95"/>
    </row>
    <row r="319">
      <c r="A319" s="3"/>
      <c r="B319" s="3"/>
      <c r="C319" s="95"/>
    </row>
    <row r="320">
      <c r="A320" s="3"/>
      <c r="B320" s="3"/>
      <c r="C320" s="95"/>
    </row>
    <row r="321">
      <c r="A321" s="3"/>
      <c r="B321" s="3"/>
      <c r="C321" s="95"/>
    </row>
    <row r="322">
      <c r="A322" s="3"/>
      <c r="B322" s="3"/>
      <c r="C322" s="95"/>
    </row>
    <row r="323">
      <c r="A323" s="3"/>
      <c r="B323" s="3"/>
      <c r="C323" s="95"/>
    </row>
    <row r="324">
      <c r="A324" s="3"/>
      <c r="B324" s="3"/>
      <c r="C324" s="95"/>
    </row>
    <row r="325">
      <c r="A325" s="3"/>
      <c r="B325" s="3"/>
      <c r="C325" s="95"/>
    </row>
    <row r="326">
      <c r="A326" s="3"/>
      <c r="B326" s="3"/>
      <c r="C326" s="95"/>
    </row>
    <row r="327">
      <c r="A327" s="3"/>
      <c r="B327" s="3"/>
      <c r="C327" s="95"/>
    </row>
    <row r="328">
      <c r="A328" s="3"/>
      <c r="B328" s="3"/>
      <c r="C328" s="95"/>
    </row>
    <row r="329">
      <c r="A329" s="3"/>
      <c r="B329" s="3"/>
      <c r="C329" s="95"/>
    </row>
    <row r="330">
      <c r="A330" s="3"/>
      <c r="B330" s="3"/>
      <c r="C330" s="95"/>
    </row>
    <row r="331">
      <c r="A331" s="3"/>
      <c r="B331" s="3"/>
      <c r="C331" s="95"/>
    </row>
    <row r="332">
      <c r="A332" s="3"/>
      <c r="B332" s="3"/>
      <c r="C332" s="95"/>
    </row>
    <row r="333">
      <c r="A333" s="3"/>
      <c r="B333" s="3"/>
      <c r="C333" s="95"/>
    </row>
    <row r="334">
      <c r="A334" s="3"/>
      <c r="B334" s="3"/>
      <c r="C334" s="95"/>
    </row>
    <row r="335">
      <c r="A335" s="3"/>
      <c r="B335" s="3"/>
      <c r="C335" s="95"/>
    </row>
    <row r="336">
      <c r="A336" s="3"/>
      <c r="B336" s="3"/>
      <c r="C336" s="95"/>
    </row>
    <row r="337">
      <c r="A337" s="3"/>
      <c r="B337" s="3"/>
      <c r="C337" s="95"/>
    </row>
    <row r="338">
      <c r="A338" s="3"/>
      <c r="B338" s="3"/>
      <c r="C338" s="95"/>
    </row>
    <row r="339">
      <c r="A339" s="3"/>
      <c r="B339" s="3"/>
      <c r="C339" s="95"/>
    </row>
    <row r="340">
      <c r="A340" s="3"/>
      <c r="B340" s="3"/>
      <c r="C340" s="95"/>
    </row>
    <row r="341">
      <c r="A341" s="3"/>
      <c r="B341" s="3"/>
      <c r="C341" s="95"/>
    </row>
    <row r="342">
      <c r="A342" s="3"/>
      <c r="B342" s="3"/>
      <c r="C342" s="95"/>
    </row>
    <row r="343">
      <c r="A343" s="3"/>
      <c r="B343" s="3"/>
      <c r="C343" s="95"/>
    </row>
    <row r="344">
      <c r="A344" s="3"/>
      <c r="B344" s="3"/>
      <c r="C344" s="95"/>
    </row>
    <row r="345">
      <c r="A345" s="3"/>
      <c r="B345" s="3"/>
      <c r="C345" s="95"/>
    </row>
    <row r="346">
      <c r="A346" s="3"/>
      <c r="B346" s="3"/>
      <c r="C346" s="95"/>
    </row>
    <row r="347">
      <c r="A347" s="3"/>
      <c r="B347" s="3"/>
      <c r="C347" s="95"/>
    </row>
    <row r="348">
      <c r="A348" s="3"/>
      <c r="B348" s="3"/>
      <c r="C348" s="95"/>
    </row>
    <row r="349">
      <c r="A349" s="3"/>
      <c r="B349" s="3"/>
      <c r="C349" s="95"/>
    </row>
    <row r="350">
      <c r="A350" s="3"/>
      <c r="B350" s="3"/>
      <c r="C350" s="95"/>
    </row>
    <row r="351">
      <c r="A351" s="3"/>
      <c r="B351" s="3"/>
      <c r="C351" s="95"/>
    </row>
    <row r="352">
      <c r="A352" s="3"/>
      <c r="B352" s="3"/>
      <c r="C352" s="95"/>
    </row>
    <row r="353">
      <c r="A353" s="3"/>
      <c r="B353" s="3"/>
      <c r="C353" s="95"/>
    </row>
    <row r="354">
      <c r="A354" s="3"/>
      <c r="B354" s="3"/>
      <c r="C354" s="95"/>
    </row>
    <row r="355">
      <c r="A355" s="3"/>
      <c r="B355" s="3"/>
      <c r="C355" s="95"/>
    </row>
    <row r="356">
      <c r="A356" s="3"/>
      <c r="B356" s="3"/>
      <c r="C356" s="95"/>
    </row>
    <row r="357">
      <c r="A357" s="3"/>
      <c r="B357" s="3"/>
      <c r="C357" s="95"/>
    </row>
    <row r="358">
      <c r="A358" s="3"/>
      <c r="B358" s="3"/>
      <c r="C358" s="95"/>
    </row>
    <row r="359">
      <c r="A359" s="3"/>
      <c r="B359" s="3"/>
      <c r="C359" s="95"/>
    </row>
    <row r="360">
      <c r="A360" s="3"/>
      <c r="B360" s="3"/>
      <c r="C360" s="95"/>
    </row>
    <row r="361">
      <c r="A361" s="3"/>
      <c r="B361" s="3"/>
      <c r="C361" s="95"/>
    </row>
    <row r="362">
      <c r="A362" s="3"/>
      <c r="B362" s="3"/>
      <c r="C362" s="95"/>
    </row>
    <row r="363">
      <c r="A363" s="3"/>
      <c r="B363" s="3"/>
      <c r="C363" s="95"/>
    </row>
    <row r="364">
      <c r="A364" s="3"/>
      <c r="B364" s="3"/>
      <c r="C364" s="95"/>
    </row>
    <row r="365">
      <c r="A365" s="3"/>
      <c r="B365" s="3"/>
      <c r="C365" s="95"/>
    </row>
    <row r="366">
      <c r="A366" s="3"/>
      <c r="B366" s="3"/>
      <c r="C366" s="95"/>
    </row>
    <row r="367">
      <c r="A367" s="3"/>
      <c r="B367" s="3"/>
      <c r="C367" s="95"/>
    </row>
    <row r="368">
      <c r="A368" s="3"/>
      <c r="B368" s="3"/>
      <c r="C368" s="95"/>
    </row>
    <row r="369">
      <c r="A369" s="3"/>
      <c r="B369" s="3"/>
      <c r="C369" s="95"/>
    </row>
    <row r="370">
      <c r="A370" s="3"/>
      <c r="B370" s="3"/>
      <c r="C370" s="95"/>
      <c r="D370" s="3"/>
    </row>
    <row r="371">
      <c r="A371" s="3"/>
      <c r="B371" s="3"/>
      <c r="C371" s="95"/>
    </row>
    <row r="372">
      <c r="A372" s="3"/>
      <c r="B372" s="3"/>
      <c r="C372" s="95"/>
      <c r="D372" s="3"/>
    </row>
    <row r="373">
      <c r="A373" s="3"/>
      <c r="B373" s="3"/>
      <c r="C373" s="95"/>
    </row>
    <row r="374">
      <c r="A374" s="3"/>
      <c r="B374" s="3"/>
      <c r="C374" s="95"/>
    </row>
    <row r="375">
      <c r="A375" s="3"/>
      <c r="B375" s="3"/>
      <c r="C375" s="95"/>
    </row>
    <row r="376">
      <c r="A376" s="3"/>
      <c r="B376" s="3"/>
      <c r="C376" s="95"/>
    </row>
    <row r="377">
      <c r="A377" s="3"/>
      <c r="B377" s="3"/>
      <c r="C377" s="95"/>
    </row>
    <row r="378">
      <c r="A378" s="3"/>
      <c r="B378" s="3"/>
      <c r="C378" s="95"/>
    </row>
    <row r="379">
      <c r="A379" s="3"/>
      <c r="B379" s="3"/>
      <c r="C379" s="95"/>
    </row>
    <row r="380">
      <c r="A380" s="3"/>
      <c r="B380" s="3"/>
      <c r="C380" s="95"/>
    </row>
    <row r="381">
      <c r="A381" s="3"/>
      <c r="B381" s="3"/>
      <c r="C381" s="95"/>
    </row>
    <row r="382">
      <c r="A382" s="3"/>
      <c r="B382" s="3"/>
      <c r="C382" s="95"/>
    </row>
    <row r="383">
      <c r="A383" s="3"/>
      <c r="B383" s="3"/>
      <c r="C383" s="95"/>
    </row>
    <row r="384">
      <c r="A384" s="3"/>
      <c r="B384" s="3"/>
      <c r="C384" s="95"/>
    </row>
    <row r="385">
      <c r="A385" s="3"/>
      <c r="B385" s="3"/>
      <c r="C385" s="95"/>
    </row>
    <row r="386">
      <c r="A386" s="3"/>
      <c r="B386" s="3"/>
      <c r="C386" s="95"/>
    </row>
    <row r="387">
      <c r="A387" s="3"/>
      <c r="B387" s="3"/>
      <c r="C387" s="95"/>
    </row>
    <row r="388">
      <c r="A388" s="3"/>
      <c r="B388" s="3"/>
      <c r="C388" s="95"/>
    </row>
    <row r="389">
      <c r="A389" s="3"/>
      <c r="B389" s="3"/>
      <c r="C389" s="95"/>
    </row>
    <row r="390">
      <c r="A390" s="3"/>
      <c r="B390" s="3"/>
      <c r="C390" s="95"/>
    </row>
    <row r="391">
      <c r="A391" s="3"/>
      <c r="B391" s="3"/>
      <c r="C391" s="95"/>
    </row>
    <row r="392">
      <c r="A392" s="3"/>
      <c r="B392" s="3"/>
      <c r="C392" s="95"/>
    </row>
    <row r="393">
      <c r="A393" s="3"/>
      <c r="B393" s="3"/>
      <c r="C393" s="95"/>
    </row>
    <row r="394">
      <c r="A394" s="3"/>
      <c r="B394" s="3"/>
      <c r="C394" s="95"/>
    </row>
    <row r="395">
      <c r="A395" s="3"/>
      <c r="B395" s="3"/>
      <c r="C395" s="95"/>
    </row>
    <row r="396">
      <c r="A396" s="3"/>
      <c r="B396" s="3"/>
      <c r="C396" s="95"/>
    </row>
    <row r="397">
      <c r="A397" s="3"/>
      <c r="B397" s="3"/>
      <c r="C397" s="95"/>
    </row>
    <row r="398">
      <c r="A398" s="3"/>
      <c r="B398" s="3"/>
      <c r="C398" s="95"/>
    </row>
    <row r="399">
      <c r="A399" s="3"/>
      <c r="B399" s="3"/>
      <c r="C399" s="95"/>
    </row>
    <row r="400">
      <c r="A400" s="3"/>
      <c r="B400" s="3"/>
      <c r="C400" s="95"/>
    </row>
    <row r="401">
      <c r="A401" s="3"/>
      <c r="B401" s="3"/>
      <c r="C401" s="95"/>
    </row>
    <row r="402">
      <c r="A402" s="3"/>
      <c r="B402" s="3"/>
      <c r="C402" s="95"/>
    </row>
    <row r="403">
      <c r="A403" s="3"/>
      <c r="B403" s="3"/>
      <c r="C403" s="95"/>
    </row>
    <row r="404">
      <c r="A404" s="3"/>
      <c r="B404" s="3"/>
      <c r="C404" s="95"/>
    </row>
    <row r="405">
      <c r="A405" s="3"/>
      <c r="B405" s="3"/>
      <c r="C405" s="95"/>
    </row>
    <row r="406">
      <c r="A406" s="3"/>
      <c r="B406" s="3"/>
      <c r="C406" s="95"/>
    </row>
    <row r="407">
      <c r="A407" s="3"/>
      <c r="B407" s="3"/>
      <c r="C407" s="95"/>
    </row>
    <row r="408">
      <c r="A408" s="3"/>
      <c r="B408" s="3"/>
      <c r="C408" s="95"/>
    </row>
    <row r="409">
      <c r="A409" s="3"/>
      <c r="B409" s="3"/>
      <c r="C409" s="95"/>
    </row>
    <row r="410">
      <c r="A410" s="3"/>
      <c r="B410" s="3"/>
      <c r="C410" s="95"/>
    </row>
    <row r="411">
      <c r="A411" s="3"/>
      <c r="B411" s="3"/>
      <c r="C411" s="95"/>
    </row>
    <row r="412">
      <c r="A412" s="3"/>
      <c r="B412" s="3"/>
      <c r="C412" s="95"/>
    </row>
    <row r="413">
      <c r="A413" s="3"/>
      <c r="B413" s="3"/>
      <c r="C413" s="95"/>
    </row>
    <row r="414">
      <c r="A414" s="3"/>
      <c r="B414" s="3"/>
      <c r="C414" s="95"/>
    </row>
    <row r="415">
      <c r="A415" s="3"/>
      <c r="B415" s="3"/>
      <c r="C415" s="95"/>
      <c r="D415" s="3"/>
    </row>
    <row r="416">
      <c r="A416" s="3"/>
      <c r="B416" s="3"/>
      <c r="C416" s="95"/>
    </row>
    <row r="417">
      <c r="A417" s="3"/>
      <c r="B417" s="3"/>
      <c r="C417" s="95"/>
      <c r="D417" s="3"/>
    </row>
    <row r="418">
      <c r="A418" s="3"/>
      <c r="B418" s="3"/>
      <c r="C418" s="95"/>
    </row>
    <row r="419">
      <c r="A419" s="3"/>
      <c r="B419" s="3"/>
      <c r="C419" s="95"/>
    </row>
    <row r="420">
      <c r="A420" s="3"/>
      <c r="B420" s="3"/>
      <c r="C420" s="95"/>
    </row>
    <row r="421">
      <c r="A421" s="3"/>
      <c r="B421" s="3"/>
      <c r="C421" s="95"/>
    </row>
    <row r="422">
      <c r="A422" s="3"/>
      <c r="B422" s="3"/>
      <c r="C422" s="95"/>
    </row>
    <row r="423">
      <c r="A423" s="3"/>
      <c r="B423" s="3"/>
      <c r="C423" s="95"/>
    </row>
    <row r="424">
      <c r="A424" s="3"/>
      <c r="B424" s="3"/>
      <c r="C424" s="95"/>
    </row>
    <row r="425">
      <c r="A425" s="3"/>
      <c r="B425" s="3"/>
      <c r="C425" s="95"/>
    </row>
    <row r="426">
      <c r="A426" s="3"/>
      <c r="B426" s="3"/>
      <c r="C426" s="95"/>
    </row>
    <row r="427">
      <c r="A427" s="3"/>
      <c r="B427" s="3"/>
      <c r="C427" s="95"/>
    </row>
    <row r="428">
      <c r="A428" s="3"/>
      <c r="B428" s="3"/>
      <c r="C428" s="95"/>
    </row>
    <row r="429">
      <c r="A429" s="3"/>
      <c r="B429" s="3"/>
      <c r="C429" s="95"/>
    </row>
    <row r="430">
      <c r="A430" s="3"/>
      <c r="B430" s="3"/>
      <c r="C430" s="95"/>
    </row>
    <row r="431">
      <c r="A431" s="3"/>
      <c r="B431" s="3"/>
      <c r="C431" s="95"/>
    </row>
    <row r="432">
      <c r="A432" s="3"/>
      <c r="B432" s="3"/>
      <c r="C432" s="95"/>
    </row>
    <row r="433">
      <c r="A433" s="3"/>
      <c r="B433" s="3"/>
      <c r="C433" s="95"/>
    </row>
    <row r="434">
      <c r="A434" s="3"/>
      <c r="B434" s="3"/>
      <c r="C434" s="95"/>
    </row>
    <row r="435">
      <c r="A435" s="3"/>
      <c r="B435" s="3"/>
      <c r="C435" s="95"/>
    </row>
    <row r="436">
      <c r="A436" s="3"/>
      <c r="B436" s="3"/>
      <c r="C436" s="95"/>
    </row>
    <row r="437">
      <c r="A437" s="3"/>
      <c r="B437" s="3"/>
      <c r="C437" s="95"/>
    </row>
    <row r="438">
      <c r="A438" s="3"/>
      <c r="B438" s="3"/>
      <c r="C438" s="95"/>
    </row>
    <row r="439">
      <c r="A439" s="3"/>
      <c r="B439" s="3"/>
      <c r="C439" s="95"/>
    </row>
    <row r="440">
      <c r="A440" s="3"/>
      <c r="B440" s="3"/>
      <c r="C440" s="95"/>
    </row>
    <row r="441">
      <c r="A441" s="3"/>
      <c r="B441" s="3"/>
      <c r="C441" s="95"/>
    </row>
    <row r="442">
      <c r="A442" s="3"/>
      <c r="B442" s="3"/>
      <c r="C442" s="95"/>
    </row>
    <row r="443">
      <c r="A443" s="3"/>
      <c r="B443" s="3"/>
      <c r="C443" s="95"/>
    </row>
    <row r="444">
      <c r="A444" s="3"/>
      <c r="B444" s="3"/>
      <c r="C444" s="95"/>
    </row>
    <row r="445">
      <c r="A445" s="3"/>
      <c r="B445" s="3"/>
      <c r="C445" s="95"/>
    </row>
    <row r="446">
      <c r="A446" s="3"/>
      <c r="B446" s="3"/>
      <c r="C446" s="95"/>
    </row>
    <row r="447">
      <c r="A447" s="3"/>
      <c r="B447" s="3"/>
      <c r="C447" s="95"/>
    </row>
    <row r="448">
      <c r="A448" s="3"/>
      <c r="B448" s="3"/>
      <c r="C448" s="95"/>
    </row>
    <row r="449">
      <c r="A449" s="3"/>
      <c r="B449" s="3"/>
      <c r="C449" s="95"/>
    </row>
    <row r="450">
      <c r="A450" s="3"/>
      <c r="B450" s="3"/>
      <c r="C450" s="95"/>
    </row>
    <row r="451">
      <c r="A451" s="3"/>
      <c r="B451" s="3"/>
      <c r="C451" s="95"/>
    </row>
    <row r="452">
      <c r="A452" s="3"/>
      <c r="B452" s="3"/>
      <c r="C452" s="95"/>
    </row>
    <row r="453">
      <c r="A453" s="3"/>
      <c r="B453" s="3"/>
      <c r="C453" s="95"/>
    </row>
    <row r="454">
      <c r="A454" s="3"/>
      <c r="B454" s="3"/>
      <c r="C454" s="95"/>
    </row>
    <row r="455">
      <c r="A455" s="3"/>
      <c r="B455" s="3"/>
      <c r="C455" s="95"/>
    </row>
    <row r="456">
      <c r="A456" s="3"/>
      <c r="B456" s="3"/>
      <c r="C456" s="95"/>
    </row>
    <row r="457">
      <c r="A457" s="3"/>
      <c r="B457" s="3"/>
      <c r="C457" s="95"/>
    </row>
    <row r="458">
      <c r="A458" s="3"/>
      <c r="B458" s="3"/>
      <c r="C458" s="95"/>
    </row>
    <row r="459">
      <c r="A459" s="3"/>
      <c r="B459" s="3"/>
      <c r="C459" s="95"/>
    </row>
    <row r="460">
      <c r="A460" s="3"/>
      <c r="B460" s="3"/>
      <c r="C460" s="95"/>
    </row>
    <row r="461">
      <c r="A461" s="3"/>
      <c r="B461" s="3"/>
      <c r="C461" s="95"/>
    </row>
    <row r="462">
      <c r="A462" s="3"/>
      <c r="B462" s="3"/>
      <c r="C462" s="95"/>
    </row>
    <row r="463">
      <c r="A463" s="3"/>
      <c r="B463" s="3"/>
      <c r="C463" s="95"/>
    </row>
    <row r="464">
      <c r="A464" s="3"/>
      <c r="B464" s="3"/>
      <c r="C464" s="95"/>
    </row>
    <row r="465">
      <c r="A465" s="3"/>
      <c r="B465" s="3"/>
      <c r="C465" s="95"/>
    </row>
    <row r="466">
      <c r="A466" s="3"/>
      <c r="B466" s="3"/>
      <c r="C466" s="95"/>
    </row>
    <row r="467">
      <c r="A467" s="3"/>
      <c r="B467" s="3"/>
      <c r="C467" s="95"/>
    </row>
    <row r="468">
      <c r="A468" s="3"/>
      <c r="B468" s="3"/>
      <c r="C468" s="95"/>
    </row>
    <row r="469">
      <c r="A469" s="3"/>
      <c r="B469" s="3"/>
      <c r="C469" s="95"/>
    </row>
    <row r="470">
      <c r="A470" s="3"/>
      <c r="B470" s="3"/>
      <c r="C470" s="95"/>
    </row>
    <row r="471">
      <c r="A471" s="3"/>
      <c r="B471" s="3"/>
      <c r="C471" s="95"/>
    </row>
    <row r="472">
      <c r="A472" s="3"/>
      <c r="B472" s="3"/>
      <c r="C472" s="95"/>
    </row>
    <row r="473">
      <c r="A473" s="3"/>
      <c r="B473" s="3"/>
      <c r="C473" s="95"/>
    </row>
    <row r="474">
      <c r="A474" s="3"/>
      <c r="B474" s="3"/>
      <c r="C474" s="95"/>
    </row>
    <row r="475">
      <c r="A475" s="3"/>
      <c r="B475" s="3"/>
      <c r="C475" s="95"/>
    </row>
    <row r="476">
      <c r="A476" s="3"/>
      <c r="B476" s="3"/>
      <c r="C476" s="95"/>
    </row>
    <row r="477">
      <c r="A477" s="3"/>
      <c r="B477" s="3"/>
      <c r="C477" s="95"/>
    </row>
    <row r="478">
      <c r="A478" s="3"/>
      <c r="B478" s="3"/>
      <c r="C478" s="95"/>
    </row>
    <row r="479">
      <c r="A479" s="3"/>
      <c r="B479" s="3"/>
      <c r="C479" s="95"/>
    </row>
    <row r="480">
      <c r="A480" s="3"/>
      <c r="B480" s="3"/>
      <c r="C480" s="95"/>
    </row>
    <row r="481">
      <c r="A481" s="3"/>
      <c r="B481" s="3"/>
      <c r="C481" s="95"/>
    </row>
    <row r="482">
      <c r="A482" s="3"/>
      <c r="B482" s="3"/>
      <c r="C482" s="95"/>
    </row>
    <row r="483">
      <c r="A483" s="3"/>
      <c r="B483" s="3"/>
      <c r="C483" s="95"/>
    </row>
    <row r="484">
      <c r="A484" s="3"/>
      <c r="B484" s="3"/>
      <c r="C484" s="95"/>
    </row>
    <row r="485">
      <c r="A485" s="3"/>
      <c r="B485" s="3"/>
      <c r="C485" s="95"/>
    </row>
    <row r="486">
      <c r="A486" s="3"/>
      <c r="B486" s="3"/>
      <c r="C486" s="95"/>
    </row>
    <row r="487">
      <c r="A487" s="3"/>
      <c r="B487" s="3"/>
      <c r="C487" s="95"/>
      <c r="D487" s="3"/>
    </row>
    <row r="488">
      <c r="A488" s="3"/>
      <c r="B488" s="3"/>
      <c r="C488" s="95"/>
    </row>
    <row r="489">
      <c r="A489" s="3"/>
      <c r="B489" s="3"/>
      <c r="C489" s="95"/>
      <c r="D489" s="3"/>
    </row>
    <row r="490">
      <c r="A490" s="3"/>
      <c r="B490" s="3"/>
      <c r="C490" s="95"/>
    </row>
    <row r="491">
      <c r="A491" s="3"/>
      <c r="B491" s="3"/>
      <c r="C491" s="95"/>
    </row>
    <row r="492">
      <c r="A492" s="3"/>
      <c r="B492" s="3"/>
      <c r="C492" s="95"/>
    </row>
    <row r="493">
      <c r="A493" s="3"/>
      <c r="B493" s="3"/>
      <c r="C493" s="95"/>
      <c r="D493" s="3"/>
    </row>
    <row r="494">
      <c r="A494" s="3"/>
      <c r="B494" s="3"/>
      <c r="C494" s="95"/>
    </row>
    <row r="495">
      <c r="A495" s="3"/>
      <c r="B495" s="3"/>
      <c r="C495" s="95"/>
      <c r="D495" s="3"/>
    </row>
    <row r="496">
      <c r="A496" s="3"/>
      <c r="B496" s="3"/>
      <c r="C496" s="95"/>
      <c r="D496" s="3"/>
    </row>
    <row r="497">
      <c r="A497" s="3"/>
      <c r="B497" s="3"/>
      <c r="C497" s="95"/>
    </row>
    <row r="498">
      <c r="A498" s="3"/>
      <c r="B498" s="3"/>
      <c r="C498" s="95"/>
      <c r="D498" s="3"/>
    </row>
    <row r="499">
      <c r="A499" s="3"/>
      <c r="B499" s="3"/>
      <c r="C499" s="95"/>
      <c r="D499" s="3"/>
    </row>
    <row r="500">
      <c r="A500" s="3"/>
      <c r="B500" s="3"/>
      <c r="C500" s="95"/>
    </row>
    <row r="501">
      <c r="A501" s="3" t="s">
        <v>318</v>
      </c>
      <c r="B501" s="3" t="s">
        <v>319</v>
      </c>
      <c r="C501" s="95">
        <v>2.04</v>
      </c>
      <c r="D501" s="3" t="s">
        <v>282</v>
      </c>
    </row>
    <row r="502">
      <c r="A502" s="3" t="s">
        <v>320</v>
      </c>
      <c r="B502" s="3" t="s">
        <v>321</v>
      </c>
      <c r="C502" s="95">
        <v>1.65</v>
      </c>
      <c r="D502" s="3" t="s">
        <v>282</v>
      </c>
    </row>
    <row r="503">
      <c r="A503" s="3" t="s">
        <v>320</v>
      </c>
      <c r="B503" s="3" t="s">
        <v>227</v>
      </c>
      <c r="C503" s="95">
        <v>0.0</v>
      </c>
    </row>
    <row r="504">
      <c r="A504" s="3" t="s">
        <v>320</v>
      </c>
      <c r="B504" s="3" t="s">
        <v>322</v>
      </c>
      <c r="C504" s="95">
        <v>2.25</v>
      </c>
      <c r="D504" s="3" t="s">
        <v>301</v>
      </c>
    </row>
    <row r="505">
      <c r="A505" s="3" t="s">
        <v>323</v>
      </c>
      <c r="B505" s="3" t="s">
        <v>324</v>
      </c>
      <c r="C505" s="95">
        <v>2.1</v>
      </c>
      <c r="D505" s="3" t="s">
        <v>301</v>
      </c>
    </row>
    <row r="506">
      <c r="A506" s="3" t="s">
        <v>323</v>
      </c>
      <c r="B506" s="3" t="s">
        <v>227</v>
      </c>
      <c r="C506" s="95">
        <v>0.0</v>
      </c>
    </row>
    <row r="507">
      <c r="A507" s="3" t="s">
        <v>323</v>
      </c>
      <c r="B507" s="3" t="s">
        <v>325</v>
      </c>
      <c r="C507" s="95">
        <v>1.73</v>
      </c>
      <c r="D507" s="3" t="s">
        <v>301</v>
      </c>
    </row>
    <row r="508">
      <c r="A508" s="3" t="s">
        <v>326</v>
      </c>
      <c r="B508" s="3" t="s">
        <v>327</v>
      </c>
      <c r="C508" s="95">
        <v>0.0</v>
      </c>
    </row>
    <row r="509">
      <c r="A509" s="3" t="s">
        <v>326</v>
      </c>
      <c r="B509" s="3" t="s">
        <v>227</v>
      </c>
      <c r="C509" s="95">
        <v>0.0</v>
      </c>
    </row>
    <row r="510">
      <c r="A510" s="3" t="s">
        <v>326</v>
      </c>
      <c r="B510" s="3" t="s">
        <v>328</v>
      </c>
      <c r="C510" s="95">
        <v>0.0</v>
      </c>
    </row>
    <row r="511">
      <c r="A511" s="3" t="s">
        <v>329</v>
      </c>
      <c r="B511" s="3" t="s">
        <v>330</v>
      </c>
      <c r="C511" s="95">
        <v>0.0</v>
      </c>
    </row>
    <row r="512">
      <c r="A512" s="3" t="s">
        <v>329</v>
      </c>
      <c r="B512" s="3" t="s">
        <v>227</v>
      </c>
      <c r="C512" s="95">
        <v>0.0</v>
      </c>
    </row>
    <row r="513">
      <c r="A513" s="3" t="s">
        <v>329</v>
      </c>
      <c r="B513" s="3" t="s">
        <v>331</v>
      </c>
      <c r="C513" s="95">
        <v>0.0</v>
      </c>
    </row>
    <row r="514">
      <c r="A514" s="3" t="s">
        <v>332</v>
      </c>
      <c r="B514" s="3" t="s">
        <v>333</v>
      </c>
      <c r="C514" s="95">
        <v>0.0</v>
      </c>
    </row>
    <row r="515">
      <c r="A515" s="3" t="s">
        <v>332</v>
      </c>
      <c r="B515" s="3" t="s">
        <v>227</v>
      </c>
      <c r="C515" s="95">
        <v>0.0</v>
      </c>
    </row>
    <row r="516">
      <c r="A516" s="3" t="s">
        <v>332</v>
      </c>
      <c r="B516" s="3" t="s">
        <v>334</v>
      </c>
      <c r="C516" s="95">
        <v>0.0</v>
      </c>
    </row>
    <row r="517">
      <c r="A517" s="3" t="s">
        <v>335</v>
      </c>
      <c r="B517" s="3" t="s">
        <v>336</v>
      </c>
      <c r="C517" s="95">
        <v>0.0</v>
      </c>
    </row>
    <row r="518">
      <c r="A518" s="3" t="s">
        <v>335</v>
      </c>
      <c r="B518" s="3" t="s">
        <v>227</v>
      </c>
      <c r="C518" s="95">
        <v>0.0</v>
      </c>
    </row>
    <row r="519">
      <c r="A519" s="3" t="s">
        <v>335</v>
      </c>
      <c r="B519" s="3" t="s">
        <v>337</v>
      </c>
      <c r="C519" s="95">
        <v>0.0</v>
      </c>
    </row>
    <row r="520">
      <c r="A520" s="3" t="s">
        <v>338</v>
      </c>
      <c r="B520" s="3" t="s">
        <v>339</v>
      </c>
      <c r="C520" s="95">
        <v>0.0</v>
      </c>
    </row>
    <row r="521">
      <c r="A521" s="3" t="s">
        <v>338</v>
      </c>
      <c r="B521" s="3" t="s">
        <v>227</v>
      </c>
      <c r="C521" s="95">
        <v>0.0</v>
      </c>
    </row>
    <row r="522">
      <c r="A522" s="3" t="s">
        <v>338</v>
      </c>
      <c r="B522" s="3" t="s">
        <v>340</v>
      </c>
      <c r="C522" s="95">
        <v>0.0</v>
      </c>
    </row>
    <row r="523">
      <c r="A523" s="3" t="s">
        <v>341</v>
      </c>
      <c r="B523" s="3" t="s">
        <v>342</v>
      </c>
      <c r="C523" s="95">
        <v>0.0</v>
      </c>
    </row>
    <row r="524">
      <c r="A524" s="3" t="s">
        <v>341</v>
      </c>
      <c r="B524" s="3" t="s">
        <v>227</v>
      </c>
      <c r="C524" s="95">
        <v>0.0</v>
      </c>
    </row>
    <row r="525">
      <c r="A525" s="3" t="s">
        <v>341</v>
      </c>
      <c r="B525" s="3" t="s">
        <v>343</v>
      </c>
      <c r="C525" s="95">
        <v>0.0</v>
      </c>
    </row>
    <row r="526">
      <c r="A526" s="3" t="s">
        <v>344</v>
      </c>
      <c r="B526" s="3" t="s">
        <v>345</v>
      </c>
      <c r="C526" s="95">
        <v>0.0</v>
      </c>
    </row>
    <row r="527">
      <c r="A527" s="3" t="s">
        <v>344</v>
      </c>
      <c r="B527" s="3" t="s">
        <v>227</v>
      </c>
      <c r="C527" s="95">
        <v>0.0</v>
      </c>
    </row>
    <row r="528">
      <c r="A528" s="3" t="s">
        <v>344</v>
      </c>
      <c r="B528" s="3" t="s">
        <v>346</v>
      </c>
      <c r="C528" s="95">
        <v>0.0</v>
      </c>
    </row>
    <row r="529">
      <c r="A529" s="3" t="s">
        <v>347</v>
      </c>
      <c r="B529" s="3" t="s">
        <v>348</v>
      </c>
      <c r="C529" s="95">
        <v>0.0</v>
      </c>
    </row>
    <row r="530">
      <c r="A530" s="3" t="s">
        <v>347</v>
      </c>
      <c r="B530" s="3" t="s">
        <v>227</v>
      </c>
      <c r="C530" s="95">
        <v>0.0</v>
      </c>
    </row>
    <row r="531">
      <c r="A531" s="3" t="s">
        <v>347</v>
      </c>
      <c r="B531" s="3" t="s">
        <v>349</v>
      </c>
      <c r="C531" s="95">
        <v>0.0</v>
      </c>
    </row>
    <row r="532">
      <c r="A532" s="3" t="s">
        <v>350</v>
      </c>
      <c r="B532" s="3" t="s">
        <v>351</v>
      </c>
      <c r="C532" s="95">
        <v>0.0</v>
      </c>
    </row>
    <row r="533">
      <c r="A533" s="3" t="s">
        <v>350</v>
      </c>
      <c r="B533" s="3" t="s">
        <v>227</v>
      </c>
      <c r="C533" s="95">
        <v>0.0</v>
      </c>
    </row>
    <row r="534">
      <c r="A534" s="3" t="s">
        <v>350</v>
      </c>
      <c r="B534" s="3" t="s">
        <v>352</v>
      </c>
      <c r="C534" s="95">
        <v>0.0</v>
      </c>
    </row>
    <row r="535">
      <c r="A535" s="3" t="s">
        <v>353</v>
      </c>
      <c r="B535" s="3" t="s">
        <v>354</v>
      </c>
      <c r="C535" s="95">
        <v>0.0</v>
      </c>
    </row>
    <row r="536">
      <c r="A536" s="3" t="s">
        <v>353</v>
      </c>
      <c r="B536" s="3" t="s">
        <v>227</v>
      </c>
      <c r="C536" s="95">
        <v>0.0</v>
      </c>
    </row>
    <row r="537">
      <c r="A537" s="3" t="s">
        <v>353</v>
      </c>
      <c r="B537" s="3" t="s">
        <v>355</v>
      </c>
      <c r="C537" s="95">
        <v>0.0</v>
      </c>
    </row>
    <row r="538">
      <c r="A538" s="3" t="s">
        <v>356</v>
      </c>
      <c r="B538" s="3" t="s">
        <v>357</v>
      </c>
      <c r="C538" s="95">
        <v>0.0</v>
      </c>
    </row>
    <row r="539">
      <c r="A539" s="3" t="s">
        <v>356</v>
      </c>
      <c r="B539" s="3" t="s">
        <v>227</v>
      </c>
      <c r="C539" s="95">
        <v>0.0</v>
      </c>
    </row>
    <row r="540">
      <c r="A540" s="3" t="s">
        <v>356</v>
      </c>
      <c r="B540" s="3" t="s">
        <v>358</v>
      </c>
      <c r="C540" s="95">
        <v>0.0</v>
      </c>
    </row>
    <row r="541">
      <c r="A541" s="3" t="s">
        <v>359</v>
      </c>
      <c r="B541" s="3" t="s">
        <v>360</v>
      </c>
      <c r="C541" s="95">
        <v>0.0</v>
      </c>
    </row>
    <row r="542">
      <c r="A542" s="3" t="s">
        <v>359</v>
      </c>
      <c r="B542" s="3" t="s">
        <v>227</v>
      </c>
      <c r="C542" s="95">
        <v>0.0</v>
      </c>
    </row>
    <row r="543">
      <c r="A543" s="3" t="s">
        <v>359</v>
      </c>
      <c r="B543" s="3" t="s">
        <v>322</v>
      </c>
      <c r="C543" s="95">
        <v>0.0</v>
      </c>
    </row>
    <row r="544">
      <c r="A544" s="3" t="s">
        <v>361</v>
      </c>
      <c r="B544" s="3" t="s">
        <v>328</v>
      </c>
      <c r="C544" s="95">
        <v>0.0</v>
      </c>
    </row>
    <row r="545">
      <c r="A545" s="3" t="s">
        <v>361</v>
      </c>
      <c r="B545" s="3" t="s">
        <v>227</v>
      </c>
      <c r="C545" s="95">
        <v>0.0</v>
      </c>
    </row>
    <row r="546">
      <c r="A546" s="3" t="s">
        <v>361</v>
      </c>
      <c r="B546" s="3" t="s">
        <v>362</v>
      </c>
      <c r="C546" s="95">
        <v>0.0</v>
      </c>
    </row>
    <row r="547">
      <c r="A547" s="3" t="s">
        <v>363</v>
      </c>
      <c r="B547" s="3" t="s">
        <v>364</v>
      </c>
      <c r="C547" s="95">
        <v>0.0</v>
      </c>
    </row>
    <row r="548">
      <c r="A548" s="3" t="s">
        <v>363</v>
      </c>
      <c r="B548" s="3" t="s">
        <v>227</v>
      </c>
      <c r="C548" s="95">
        <v>0.0</v>
      </c>
    </row>
    <row r="549">
      <c r="A549" s="3" t="s">
        <v>363</v>
      </c>
      <c r="B549" s="3" t="s">
        <v>342</v>
      </c>
      <c r="C549" s="95">
        <v>0.0</v>
      </c>
    </row>
    <row r="550">
      <c r="A550" s="3" t="s">
        <v>365</v>
      </c>
      <c r="B550" s="3" t="s">
        <v>336</v>
      </c>
      <c r="C550" s="95">
        <v>0.0</v>
      </c>
    </row>
    <row r="551">
      <c r="A551" s="3" t="s">
        <v>365</v>
      </c>
      <c r="B551" s="3" t="s">
        <v>227</v>
      </c>
      <c r="C551" s="95">
        <v>0.0</v>
      </c>
    </row>
    <row r="552">
      <c r="A552" s="3" t="s">
        <v>365</v>
      </c>
      <c r="B552" s="3" t="s">
        <v>333</v>
      </c>
      <c r="C552" s="95">
        <v>0.0</v>
      </c>
    </row>
    <row r="553">
      <c r="A553" s="3" t="s">
        <v>366</v>
      </c>
      <c r="B553" s="3" t="s">
        <v>325</v>
      </c>
      <c r="C553" s="95">
        <v>0.0</v>
      </c>
    </row>
    <row r="554">
      <c r="A554" s="3" t="s">
        <v>366</v>
      </c>
      <c r="B554" s="3" t="s">
        <v>227</v>
      </c>
      <c r="C554" s="95">
        <v>0.0</v>
      </c>
    </row>
    <row r="555">
      <c r="A555" s="3" t="s">
        <v>366</v>
      </c>
      <c r="B555" s="3" t="s">
        <v>345</v>
      </c>
      <c r="C555" s="95">
        <v>0.0</v>
      </c>
    </row>
    <row r="556">
      <c r="A556" s="3" t="s">
        <v>367</v>
      </c>
      <c r="B556" s="3" t="s">
        <v>334</v>
      </c>
      <c r="C556" s="95">
        <v>0.0</v>
      </c>
    </row>
    <row r="557">
      <c r="A557" s="3" t="s">
        <v>367</v>
      </c>
      <c r="B557" s="3" t="s">
        <v>227</v>
      </c>
      <c r="C557" s="95">
        <v>0.0</v>
      </c>
    </row>
    <row r="558">
      <c r="A558" s="3" t="s">
        <v>367</v>
      </c>
      <c r="B558" s="3" t="s">
        <v>368</v>
      </c>
      <c r="C558" s="95">
        <v>0.0</v>
      </c>
    </row>
    <row r="559">
      <c r="A559" s="3" t="s">
        <v>369</v>
      </c>
      <c r="B559" s="3" t="s">
        <v>357</v>
      </c>
      <c r="C559" s="95">
        <v>0.0</v>
      </c>
    </row>
    <row r="560">
      <c r="A560" s="3" t="s">
        <v>369</v>
      </c>
      <c r="B560" s="3" t="s">
        <v>227</v>
      </c>
      <c r="C560" s="95">
        <v>0.0</v>
      </c>
    </row>
    <row r="561">
      <c r="A561" s="3" t="s">
        <v>369</v>
      </c>
      <c r="B561" s="3" t="s">
        <v>354</v>
      </c>
      <c r="C561" s="95">
        <v>0.0</v>
      </c>
    </row>
    <row r="562">
      <c r="A562" s="3" t="s">
        <v>370</v>
      </c>
      <c r="B562" s="3" t="s">
        <v>340</v>
      </c>
      <c r="C562" s="95">
        <v>0.0</v>
      </c>
    </row>
    <row r="563">
      <c r="A563" s="3" t="s">
        <v>370</v>
      </c>
      <c r="B563" s="3" t="s">
        <v>227</v>
      </c>
      <c r="C563" s="95">
        <v>0.0</v>
      </c>
    </row>
    <row r="564">
      <c r="A564" s="3" t="s">
        <v>370</v>
      </c>
      <c r="B564" s="3" t="s">
        <v>351</v>
      </c>
      <c r="C564" s="95">
        <v>0.0</v>
      </c>
    </row>
    <row r="565">
      <c r="A565" s="3" t="s">
        <v>371</v>
      </c>
      <c r="B565" s="3" t="s">
        <v>343</v>
      </c>
      <c r="C565" s="95">
        <v>0.0</v>
      </c>
    </row>
    <row r="566">
      <c r="A566" s="3" t="s">
        <v>371</v>
      </c>
      <c r="B566" s="3" t="s">
        <v>227</v>
      </c>
      <c r="C566" s="95">
        <v>0.0</v>
      </c>
    </row>
    <row r="567">
      <c r="A567" s="3" t="s">
        <v>371</v>
      </c>
      <c r="B567" s="3" t="s">
        <v>349</v>
      </c>
      <c r="C567" s="95">
        <v>0.0</v>
      </c>
    </row>
    <row r="568">
      <c r="A568" s="3" t="s">
        <v>372</v>
      </c>
      <c r="B568" s="3" t="s">
        <v>348</v>
      </c>
      <c r="C568" s="95">
        <v>0.0</v>
      </c>
    </row>
    <row r="569">
      <c r="A569" s="3" t="s">
        <v>372</v>
      </c>
      <c r="B569" s="3" t="s">
        <v>227</v>
      </c>
      <c r="C569" s="95">
        <v>0.0</v>
      </c>
    </row>
    <row r="570">
      <c r="A570" s="3" t="s">
        <v>372</v>
      </c>
      <c r="B570" s="3" t="s">
        <v>319</v>
      </c>
      <c r="C570" s="95">
        <v>0.0</v>
      </c>
    </row>
    <row r="571">
      <c r="A571" s="3" t="s">
        <v>373</v>
      </c>
      <c r="B571" s="3" t="s">
        <v>355</v>
      </c>
      <c r="C571" s="95">
        <v>0.0</v>
      </c>
    </row>
    <row r="572">
      <c r="A572" s="3" t="s">
        <v>373</v>
      </c>
      <c r="B572" s="3" t="s">
        <v>227</v>
      </c>
      <c r="C572" s="95">
        <v>0.0</v>
      </c>
    </row>
    <row r="573">
      <c r="A573" s="3" t="s">
        <v>373</v>
      </c>
      <c r="B573" s="3" t="s">
        <v>321</v>
      </c>
      <c r="C573" s="95">
        <v>0.0</v>
      </c>
    </row>
    <row r="574">
      <c r="A574" s="3" t="s">
        <v>374</v>
      </c>
      <c r="B574" s="3" t="s">
        <v>327</v>
      </c>
      <c r="C574" s="95">
        <v>0.0</v>
      </c>
    </row>
    <row r="575">
      <c r="A575" s="3" t="s">
        <v>374</v>
      </c>
      <c r="B575" s="3" t="s">
        <v>227</v>
      </c>
      <c r="C575" s="95">
        <v>0.0</v>
      </c>
    </row>
    <row r="576">
      <c r="A576" s="3" t="s">
        <v>374</v>
      </c>
      <c r="B576" s="3" t="s">
        <v>358</v>
      </c>
      <c r="C576" s="95">
        <v>0.0</v>
      </c>
    </row>
    <row r="577">
      <c r="A577" s="3" t="s">
        <v>375</v>
      </c>
      <c r="B577" s="3" t="s">
        <v>324</v>
      </c>
      <c r="C577" s="95">
        <v>0.0</v>
      </c>
    </row>
    <row r="578">
      <c r="A578" s="3" t="s">
        <v>375</v>
      </c>
      <c r="B578" s="3" t="s">
        <v>227</v>
      </c>
      <c r="C578" s="95">
        <v>0.0</v>
      </c>
    </row>
    <row r="579">
      <c r="A579" s="3" t="s">
        <v>375</v>
      </c>
      <c r="B579" s="3" t="s">
        <v>330</v>
      </c>
      <c r="C579" s="95">
        <v>0.0</v>
      </c>
    </row>
    <row r="580">
      <c r="A580" s="3" t="s">
        <v>376</v>
      </c>
      <c r="B580" s="3" t="s">
        <v>352</v>
      </c>
      <c r="C580" s="95">
        <v>0.0</v>
      </c>
    </row>
    <row r="581">
      <c r="A581" s="3" t="s">
        <v>376</v>
      </c>
      <c r="B581" s="3" t="s">
        <v>227</v>
      </c>
      <c r="C581" s="95">
        <v>0.0</v>
      </c>
    </row>
    <row r="582">
      <c r="A582" s="3" t="s">
        <v>376</v>
      </c>
      <c r="B582" s="3" t="s">
        <v>377</v>
      </c>
      <c r="C582" s="95">
        <v>0.0</v>
      </c>
    </row>
    <row r="583">
      <c r="A583" s="3" t="s">
        <v>378</v>
      </c>
      <c r="B583" s="3" t="s">
        <v>355</v>
      </c>
      <c r="C583" s="95">
        <v>0.0</v>
      </c>
    </row>
    <row r="584">
      <c r="A584" s="3" t="s">
        <v>378</v>
      </c>
      <c r="B584" s="3" t="s">
        <v>227</v>
      </c>
      <c r="C584" s="95">
        <v>0.0</v>
      </c>
    </row>
    <row r="585">
      <c r="A585" s="3" t="s">
        <v>378</v>
      </c>
      <c r="B585" s="3" t="s">
        <v>327</v>
      </c>
      <c r="C585" s="95">
        <v>0.0</v>
      </c>
    </row>
    <row r="586">
      <c r="A586" s="3" t="s">
        <v>379</v>
      </c>
      <c r="B586" s="3" t="s">
        <v>336</v>
      </c>
      <c r="C586" s="95">
        <v>0.0</v>
      </c>
    </row>
    <row r="587">
      <c r="A587" s="3" t="s">
        <v>379</v>
      </c>
      <c r="B587" s="3" t="s">
        <v>227</v>
      </c>
      <c r="C587" s="95">
        <v>0.0</v>
      </c>
    </row>
    <row r="588">
      <c r="A588" s="3" t="s">
        <v>379</v>
      </c>
      <c r="B588" s="3" t="s">
        <v>328</v>
      </c>
      <c r="C588" s="95">
        <v>0.0</v>
      </c>
    </row>
    <row r="589">
      <c r="A589" s="3" t="s">
        <v>380</v>
      </c>
      <c r="B589" s="3" t="s">
        <v>331</v>
      </c>
      <c r="C589" s="95">
        <v>0.0</v>
      </c>
    </row>
    <row r="590">
      <c r="A590" s="3" t="s">
        <v>380</v>
      </c>
      <c r="B590" s="3" t="s">
        <v>227</v>
      </c>
      <c r="C590" s="95">
        <v>0.0</v>
      </c>
    </row>
    <row r="591">
      <c r="A591" s="3" t="s">
        <v>380</v>
      </c>
      <c r="B591" s="3" t="s">
        <v>357</v>
      </c>
      <c r="C591" s="95">
        <v>0.0</v>
      </c>
    </row>
    <row r="592">
      <c r="A592" s="3" t="s">
        <v>381</v>
      </c>
      <c r="B592" s="3" t="s">
        <v>358</v>
      </c>
      <c r="C592" s="95">
        <v>0.0</v>
      </c>
    </row>
    <row r="593">
      <c r="A593" s="3" t="s">
        <v>381</v>
      </c>
      <c r="B593" s="3" t="s">
        <v>227</v>
      </c>
      <c r="C593" s="95">
        <v>0.0</v>
      </c>
    </row>
    <row r="594">
      <c r="A594" s="3" t="s">
        <v>381</v>
      </c>
      <c r="B594" s="3" t="s">
        <v>334</v>
      </c>
      <c r="C594" s="95">
        <v>0.0</v>
      </c>
    </row>
    <row r="595">
      <c r="A595" s="3" t="s">
        <v>382</v>
      </c>
      <c r="B595" s="3" t="s">
        <v>345</v>
      </c>
      <c r="C595" s="95">
        <v>0.0</v>
      </c>
    </row>
    <row r="596">
      <c r="A596" s="3" t="s">
        <v>382</v>
      </c>
      <c r="B596" s="3" t="s">
        <v>227</v>
      </c>
      <c r="C596" s="95">
        <v>0.0</v>
      </c>
    </row>
    <row r="597">
      <c r="A597" s="3" t="s">
        <v>382</v>
      </c>
      <c r="B597" s="3" t="s">
        <v>364</v>
      </c>
      <c r="C597" s="95">
        <v>0.0</v>
      </c>
    </row>
    <row r="598">
      <c r="A598" s="3" t="s">
        <v>383</v>
      </c>
      <c r="B598" s="3" t="s">
        <v>346</v>
      </c>
      <c r="C598" s="95">
        <v>0.0</v>
      </c>
    </row>
    <row r="599">
      <c r="A599" s="3" t="s">
        <v>383</v>
      </c>
      <c r="B599" s="3" t="s">
        <v>227</v>
      </c>
      <c r="C599" s="95">
        <v>0.0</v>
      </c>
    </row>
    <row r="600">
      <c r="A600" s="3" t="s">
        <v>383</v>
      </c>
      <c r="B600" s="3" t="s">
        <v>325</v>
      </c>
      <c r="C600" s="95">
        <v>0.0</v>
      </c>
    </row>
    <row r="601">
      <c r="A601" s="3" t="s">
        <v>384</v>
      </c>
      <c r="B601" s="3" t="s">
        <v>362</v>
      </c>
      <c r="C601" s="95">
        <v>0.0</v>
      </c>
    </row>
    <row r="602">
      <c r="A602" s="3" t="s">
        <v>384</v>
      </c>
      <c r="B602" s="3" t="s">
        <v>227</v>
      </c>
      <c r="C602" s="95">
        <v>0.0</v>
      </c>
    </row>
    <row r="603">
      <c r="A603" s="3" t="s">
        <v>384</v>
      </c>
      <c r="B603" s="3" t="s">
        <v>343</v>
      </c>
      <c r="C603" s="95">
        <v>0.0</v>
      </c>
    </row>
    <row r="604">
      <c r="A604" s="3" t="s">
        <v>385</v>
      </c>
      <c r="B604" s="3" t="s">
        <v>349</v>
      </c>
      <c r="C604" s="95">
        <v>0.0</v>
      </c>
    </row>
    <row r="605">
      <c r="A605" s="3" t="s">
        <v>385</v>
      </c>
      <c r="B605" s="3" t="s">
        <v>227</v>
      </c>
      <c r="C605" s="95">
        <v>0.0</v>
      </c>
    </row>
    <row r="606">
      <c r="A606" s="3" t="s">
        <v>385</v>
      </c>
      <c r="B606" s="3" t="s">
        <v>330</v>
      </c>
      <c r="C606" s="95">
        <v>0.0</v>
      </c>
    </row>
    <row r="607">
      <c r="A607" s="3" t="s">
        <v>386</v>
      </c>
      <c r="B607" s="3" t="s">
        <v>319</v>
      </c>
      <c r="C607" s="95">
        <v>0.0</v>
      </c>
    </row>
    <row r="608">
      <c r="A608" s="3" t="s">
        <v>386</v>
      </c>
      <c r="B608" s="3" t="s">
        <v>227</v>
      </c>
      <c r="C608" s="95">
        <v>0.0</v>
      </c>
    </row>
    <row r="609">
      <c r="A609" s="3" t="s">
        <v>386</v>
      </c>
      <c r="B609" s="3" t="s">
        <v>339</v>
      </c>
      <c r="C609" s="95">
        <v>0.0</v>
      </c>
    </row>
    <row r="610">
      <c r="A610" s="3" t="s">
        <v>387</v>
      </c>
      <c r="B610" s="3" t="s">
        <v>337</v>
      </c>
      <c r="C610" s="95">
        <v>0.0</v>
      </c>
    </row>
    <row r="611">
      <c r="A611" s="3" t="s">
        <v>387</v>
      </c>
      <c r="B611" s="3" t="s">
        <v>227</v>
      </c>
      <c r="C611" s="95">
        <v>0.0</v>
      </c>
    </row>
    <row r="612">
      <c r="A612" s="3" t="s">
        <v>387</v>
      </c>
      <c r="B612" s="3" t="s">
        <v>354</v>
      </c>
      <c r="C612" s="95">
        <v>0.0</v>
      </c>
    </row>
    <row r="613">
      <c r="A613" s="3" t="s">
        <v>388</v>
      </c>
      <c r="B613" s="3" t="s">
        <v>333</v>
      </c>
      <c r="C613" s="95">
        <v>0.0</v>
      </c>
    </row>
    <row r="614">
      <c r="A614" s="3" t="s">
        <v>388</v>
      </c>
      <c r="B614" s="3" t="s">
        <v>227</v>
      </c>
      <c r="C614" s="95">
        <v>0.0</v>
      </c>
    </row>
    <row r="615">
      <c r="A615" s="3" t="s">
        <v>388</v>
      </c>
      <c r="B615" s="3" t="s">
        <v>322</v>
      </c>
      <c r="C615" s="95">
        <v>0.0</v>
      </c>
    </row>
    <row r="616">
      <c r="A616" s="3" t="s">
        <v>389</v>
      </c>
      <c r="B616" s="3" t="s">
        <v>351</v>
      </c>
      <c r="C616" s="95">
        <v>0.0</v>
      </c>
    </row>
    <row r="617">
      <c r="A617" s="3" t="s">
        <v>389</v>
      </c>
      <c r="B617" s="3" t="s">
        <v>227</v>
      </c>
      <c r="C617" s="95">
        <v>0.0</v>
      </c>
    </row>
    <row r="618">
      <c r="A618" s="3" t="s">
        <v>389</v>
      </c>
      <c r="B618" s="3" t="s">
        <v>360</v>
      </c>
      <c r="C618" s="95">
        <v>0.0</v>
      </c>
    </row>
    <row r="619">
      <c r="A619" s="3" t="s">
        <v>390</v>
      </c>
      <c r="B619" s="3" t="s">
        <v>352</v>
      </c>
      <c r="C619" s="95">
        <v>0.0</v>
      </c>
    </row>
    <row r="620">
      <c r="A620" s="3" t="s">
        <v>390</v>
      </c>
      <c r="B620" s="3" t="s">
        <v>227</v>
      </c>
      <c r="C620" s="95">
        <v>0.0</v>
      </c>
    </row>
    <row r="621">
      <c r="A621" s="3" t="s">
        <v>390</v>
      </c>
      <c r="B621" s="3" t="s">
        <v>340</v>
      </c>
      <c r="C621" s="95">
        <v>0.0</v>
      </c>
    </row>
    <row r="622">
      <c r="A622" s="3" t="s">
        <v>391</v>
      </c>
      <c r="B622" s="3" t="s">
        <v>368</v>
      </c>
      <c r="C622" s="95">
        <v>0.0</v>
      </c>
    </row>
    <row r="623">
      <c r="A623" s="3" t="s">
        <v>391</v>
      </c>
      <c r="B623" s="3" t="s">
        <v>227</v>
      </c>
      <c r="C623" s="95">
        <v>0.0</v>
      </c>
    </row>
    <row r="624">
      <c r="A624" s="3" t="s">
        <v>391</v>
      </c>
      <c r="B624" s="3" t="s">
        <v>321</v>
      </c>
      <c r="C624" s="95">
        <v>0.0</v>
      </c>
    </row>
    <row r="625">
      <c r="A625" s="3" t="s">
        <v>392</v>
      </c>
      <c r="B625" s="3" t="s">
        <v>342</v>
      </c>
      <c r="C625" s="95">
        <v>0.0</v>
      </c>
    </row>
    <row r="626">
      <c r="A626" s="3" t="s">
        <v>392</v>
      </c>
      <c r="B626" s="3" t="s">
        <v>227</v>
      </c>
      <c r="C626" s="95">
        <v>0.0</v>
      </c>
    </row>
    <row r="627">
      <c r="A627" s="3" t="s">
        <v>392</v>
      </c>
      <c r="B627" s="3" t="s">
        <v>324</v>
      </c>
      <c r="C627" s="95">
        <v>0.0</v>
      </c>
    </row>
    <row r="628">
      <c r="A628" s="3" t="s">
        <v>393</v>
      </c>
      <c r="B628" s="3" t="s">
        <v>354</v>
      </c>
      <c r="C628" s="95">
        <v>0.0</v>
      </c>
    </row>
    <row r="629">
      <c r="A629" s="3" t="s">
        <v>393</v>
      </c>
      <c r="B629" s="3" t="s">
        <v>227</v>
      </c>
      <c r="C629" s="95">
        <v>0.0</v>
      </c>
    </row>
    <row r="630">
      <c r="A630" s="3" t="s">
        <v>393</v>
      </c>
      <c r="B630" s="3" t="s">
        <v>351</v>
      </c>
      <c r="C630" s="95">
        <v>0.0</v>
      </c>
    </row>
    <row r="631">
      <c r="A631" s="3" t="s">
        <v>394</v>
      </c>
      <c r="B631" s="3" t="s">
        <v>319</v>
      </c>
      <c r="C631" s="95">
        <v>0.0</v>
      </c>
    </row>
    <row r="632">
      <c r="A632" s="3" t="s">
        <v>394</v>
      </c>
      <c r="B632" s="3" t="s">
        <v>227</v>
      </c>
      <c r="C632" s="95">
        <v>0.0</v>
      </c>
    </row>
    <row r="633">
      <c r="A633" s="3" t="s">
        <v>394</v>
      </c>
      <c r="B633" s="3" t="s">
        <v>352</v>
      </c>
      <c r="C633" s="95">
        <v>0.0</v>
      </c>
    </row>
    <row r="634">
      <c r="A634" s="3" t="s">
        <v>395</v>
      </c>
      <c r="B634" s="3" t="s">
        <v>321</v>
      </c>
      <c r="C634" s="95">
        <v>0.0</v>
      </c>
    </row>
    <row r="635">
      <c r="A635" s="3" t="s">
        <v>395</v>
      </c>
      <c r="B635" s="3" t="s">
        <v>227</v>
      </c>
      <c r="C635" s="95">
        <v>0.0</v>
      </c>
    </row>
    <row r="636">
      <c r="A636" s="3" t="s">
        <v>395</v>
      </c>
      <c r="B636" s="3" t="s">
        <v>364</v>
      </c>
      <c r="C636" s="95">
        <v>0.0</v>
      </c>
    </row>
    <row r="637">
      <c r="A637" s="3" t="s">
        <v>396</v>
      </c>
      <c r="B637" s="3" t="s">
        <v>349</v>
      </c>
      <c r="C637" s="95">
        <v>0.0</v>
      </c>
    </row>
    <row r="638">
      <c r="A638" s="3" t="s">
        <v>396</v>
      </c>
      <c r="B638" s="3" t="s">
        <v>227</v>
      </c>
      <c r="C638" s="95">
        <v>0.0</v>
      </c>
    </row>
    <row r="639">
      <c r="A639" s="3" t="s">
        <v>396</v>
      </c>
      <c r="B639" s="3" t="s">
        <v>328</v>
      </c>
      <c r="C639" s="95">
        <v>0.0</v>
      </c>
    </row>
    <row r="640">
      <c r="A640" s="3" t="s">
        <v>397</v>
      </c>
      <c r="B640" s="3" t="s">
        <v>324</v>
      </c>
      <c r="C640" s="95">
        <v>0.0</v>
      </c>
    </row>
    <row r="641">
      <c r="A641" s="3" t="s">
        <v>397</v>
      </c>
      <c r="B641" s="3" t="s">
        <v>227</v>
      </c>
      <c r="C641" s="95">
        <v>0.0</v>
      </c>
    </row>
    <row r="642">
      <c r="A642" s="3" t="s">
        <v>397</v>
      </c>
      <c r="B642" s="3" t="s">
        <v>331</v>
      </c>
      <c r="C642" s="95">
        <v>0.0</v>
      </c>
    </row>
    <row r="643">
      <c r="A643" s="3" t="s">
        <v>398</v>
      </c>
      <c r="B643" s="3" t="s">
        <v>358</v>
      </c>
      <c r="C643" s="95">
        <v>0.0</v>
      </c>
    </row>
    <row r="644">
      <c r="A644" s="3" t="s">
        <v>398</v>
      </c>
      <c r="B644" s="3" t="s">
        <v>227</v>
      </c>
      <c r="C644" s="95">
        <v>0.0</v>
      </c>
    </row>
    <row r="645">
      <c r="A645" s="3" t="s">
        <v>398</v>
      </c>
      <c r="B645" s="3" t="s">
        <v>333</v>
      </c>
      <c r="C645" s="95">
        <v>0.0</v>
      </c>
    </row>
    <row r="646">
      <c r="A646" s="3" t="s">
        <v>399</v>
      </c>
      <c r="B646" s="3" t="s">
        <v>340</v>
      </c>
      <c r="C646" s="95">
        <v>0.0</v>
      </c>
    </row>
    <row r="647">
      <c r="A647" s="3" t="s">
        <v>399</v>
      </c>
      <c r="B647" s="3" t="s">
        <v>227</v>
      </c>
      <c r="C647" s="95">
        <v>0.0</v>
      </c>
    </row>
    <row r="648">
      <c r="A648" s="3" t="s">
        <v>399</v>
      </c>
      <c r="B648" s="3" t="s">
        <v>336</v>
      </c>
      <c r="C648" s="95">
        <v>0.0</v>
      </c>
    </row>
    <row r="649">
      <c r="A649" s="3" t="s">
        <v>400</v>
      </c>
      <c r="B649" s="3" t="s">
        <v>368</v>
      </c>
      <c r="C649" s="95">
        <v>0.0</v>
      </c>
    </row>
    <row r="650">
      <c r="A650" s="3" t="s">
        <v>400</v>
      </c>
      <c r="B650" s="3" t="s">
        <v>227</v>
      </c>
      <c r="C650" s="95">
        <v>0.0</v>
      </c>
    </row>
    <row r="651">
      <c r="A651" s="3" t="s">
        <v>400</v>
      </c>
      <c r="B651" s="3" t="s">
        <v>345</v>
      </c>
      <c r="C651" s="95">
        <v>0.0</v>
      </c>
    </row>
    <row r="652">
      <c r="A652" s="3" t="s">
        <v>401</v>
      </c>
      <c r="B652" s="3" t="s">
        <v>330</v>
      </c>
      <c r="C652" s="95">
        <v>0.0</v>
      </c>
    </row>
    <row r="653">
      <c r="A653" s="3" t="s">
        <v>401</v>
      </c>
      <c r="B653" s="3" t="s">
        <v>227</v>
      </c>
      <c r="C653" s="95">
        <v>0.0</v>
      </c>
    </row>
    <row r="654">
      <c r="A654" s="3" t="s">
        <v>401</v>
      </c>
      <c r="B654" s="3" t="s">
        <v>342</v>
      </c>
      <c r="C654" s="95">
        <v>0.0</v>
      </c>
    </row>
    <row r="655">
      <c r="A655" s="3" t="s">
        <v>402</v>
      </c>
      <c r="B655" s="3" t="s">
        <v>343</v>
      </c>
      <c r="C655" s="95">
        <v>0.0</v>
      </c>
    </row>
    <row r="656">
      <c r="A656" s="3" t="s">
        <v>402</v>
      </c>
      <c r="B656" s="3" t="s">
        <v>227</v>
      </c>
      <c r="C656" s="95">
        <v>0.0</v>
      </c>
    </row>
    <row r="657">
      <c r="A657" s="3" t="s">
        <v>402</v>
      </c>
      <c r="B657" s="3" t="s">
        <v>339</v>
      </c>
      <c r="C657" s="95">
        <v>0.0</v>
      </c>
    </row>
    <row r="658">
      <c r="A658" s="3" t="s">
        <v>403</v>
      </c>
      <c r="B658" s="3" t="s">
        <v>357</v>
      </c>
      <c r="C658" s="95">
        <v>0.0</v>
      </c>
    </row>
    <row r="659">
      <c r="A659" s="3" t="s">
        <v>403</v>
      </c>
      <c r="B659" s="3" t="s">
        <v>227</v>
      </c>
      <c r="C659" s="95">
        <v>0.0</v>
      </c>
    </row>
    <row r="660">
      <c r="A660" s="3" t="s">
        <v>403</v>
      </c>
      <c r="B660" s="3" t="s">
        <v>334</v>
      </c>
      <c r="C660" s="95">
        <v>0.0</v>
      </c>
    </row>
    <row r="661">
      <c r="A661" s="3" t="s">
        <v>404</v>
      </c>
      <c r="B661" s="3" t="s">
        <v>348</v>
      </c>
      <c r="C661" s="95">
        <v>0.0</v>
      </c>
    </row>
    <row r="662">
      <c r="A662" s="3" t="s">
        <v>404</v>
      </c>
      <c r="B662" s="3" t="s">
        <v>227</v>
      </c>
      <c r="C662" s="95">
        <v>0.0</v>
      </c>
    </row>
    <row r="663">
      <c r="A663" s="3" t="s">
        <v>404</v>
      </c>
      <c r="B663" s="3" t="s">
        <v>346</v>
      </c>
      <c r="C663" s="95">
        <v>0.0</v>
      </c>
    </row>
    <row r="664">
      <c r="A664" s="3" t="s">
        <v>405</v>
      </c>
      <c r="B664" s="3" t="s">
        <v>360</v>
      </c>
      <c r="C664" s="95">
        <v>0.0</v>
      </c>
    </row>
    <row r="665">
      <c r="A665" s="3" t="s">
        <v>405</v>
      </c>
      <c r="B665" s="3" t="s">
        <v>227</v>
      </c>
      <c r="C665" s="95">
        <v>0.0</v>
      </c>
    </row>
    <row r="666">
      <c r="A666" s="3" t="s">
        <v>405</v>
      </c>
      <c r="B666" s="3" t="s">
        <v>377</v>
      </c>
      <c r="C666" s="95">
        <v>0.0</v>
      </c>
    </row>
    <row r="667">
      <c r="A667" s="3" t="s">
        <v>406</v>
      </c>
      <c r="B667" s="3" t="s">
        <v>337</v>
      </c>
      <c r="C667" s="95">
        <v>0.0</v>
      </c>
    </row>
    <row r="668">
      <c r="A668" s="3" t="s">
        <v>406</v>
      </c>
      <c r="B668" s="3" t="s">
        <v>227</v>
      </c>
      <c r="C668" s="95">
        <v>0.0</v>
      </c>
    </row>
    <row r="669">
      <c r="A669" s="3" t="s">
        <v>406</v>
      </c>
      <c r="B669" s="3" t="s">
        <v>325</v>
      </c>
      <c r="C669" s="95">
        <v>0.0</v>
      </c>
    </row>
    <row r="670">
      <c r="A670" s="3" t="s">
        <v>407</v>
      </c>
      <c r="B670" s="3" t="s">
        <v>327</v>
      </c>
      <c r="C670" s="95">
        <v>0.0</v>
      </c>
    </row>
    <row r="671">
      <c r="A671" s="3" t="s">
        <v>407</v>
      </c>
      <c r="B671" s="3" t="s">
        <v>227</v>
      </c>
      <c r="C671" s="95">
        <v>0.0</v>
      </c>
    </row>
    <row r="672">
      <c r="A672" s="3" t="s">
        <v>407</v>
      </c>
      <c r="B672" s="3" t="s">
        <v>362</v>
      </c>
      <c r="C672" s="95">
        <v>0.0</v>
      </c>
    </row>
    <row r="673">
      <c r="A673" s="3" t="s">
        <v>408</v>
      </c>
      <c r="B673" s="3" t="s">
        <v>322</v>
      </c>
      <c r="C673" s="95">
        <v>0.0</v>
      </c>
    </row>
    <row r="674">
      <c r="A674" s="3" t="s">
        <v>408</v>
      </c>
      <c r="B674" s="3" t="s">
        <v>227</v>
      </c>
      <c r="C674" s="95">
        <v>0.0</v>
      </c>
    </row>
    <row r="675">
      <c r="A675" s="3" t="s">
        <v>408</v>
      </c>
      <c r="B675" s="3" t="s">
        <v>355</v>
      </c>
      <c r="C675" s="95">
        <v>0.0</v>
      </c>
    </row>
    <row r="676">
      <c r="A676" s="3" t="s">
        <v>409</v>
      </c>
      <c r="B676" s="3" t="s">
        <v>319</v>
      </c>
      <c r="C676" s="95">
        <v>1.75</v>
      </c>
      <c r="D676" s="3" t="s">
        <v>282</v>
      </c>
    </row>
    <row r="677">
      <c r="A677" s="3" t="s">
        <v>409</v>
      </c>
      <c r="B677" s="3" t="s">
        <v>227</v>
      </c>
      <c r="C677" s="95">
        <v>0.0</v>
      </c>
    </row>
    <row r="678">
      <c r="A678" s="3" t="s">
        <v>409</v>
      </c>
      <c r="B678" s="3" t="s">
        <v>330</v>
      </c>
      <c r="C678" s="95">
        <v>2.1</v>
      </c>
      <c r="D678" s="3" t="s">
        <v>301</v>
      </c>
    </row>
    <row r="679">
      <c r="A679" s="3" t="s">
        <v>410</v>
      </c>
      <c r="B679" s="3" t="s">
        <v>364</v>
      </c>
      <c r="C679" s="95">
        <v>1.83</v>
      </c>
      <c r="D679" s="3" t="s">
        <v>282</v>
      </c>
    </row>
    <row r="680">
      <c r="A680" s="3" t="s">
        <v>410</v>
      </c>
      <c r="B680" s="3" t="s">
        <v>227</v>
      </c>
      <c r="C680" s="95">
        <v>0.0</v>
      </c>
    </row>
    <row r="681">
      <c r="A681" s="3" t="s">
        <v>410</v>
      </c>
      <c r="B681" s="3" t="s">
        <v>368</v>
      </c>
      <c r="C681" s="95">
        <v>2.0</v>
      </c>
      <c r="D681" s="3" t="s">
        <v>301</v>
      </c>
    </row>
    <row r="682">
      <c r="A682" s="3" t="s">
        <v>411</v>
      </c>
      <c r="B682" s="3" t="s">
        <v>325</v>
      </c>
      <c r="C682" s="95">
        <v>2.1</v>
      </c>
      <c r="D682" s="3" t="s">
        <v>282</v>
      </c>
    </row>
    <row r="683">
      <c r="A683" s="3" t="s">
        <v>411</v>
      </c>
      <c r="B683" s="3" t="s">
        <v>227</v>
      </c>
      <c r="C683" s="95">
        <v>0.0</v>
      </c>
    </row>
    <row r="684">
      <c r="A684" s="3" t="s">
        <v>411</v>
      </c>
      <c r="B684" s="3" t="s">
        <v>321</v>
      </c>
      <c r="C684" s="95">
        <v>1.75</v>
      </c>
      <c r="D684" s="3" t="s">
        <v>282</v>
      </c>
    </row>
    <row r="685">
      <c r="A685" s="3" t="s">
        <v>412</v>
      </c>
      <c r="B685" s="3" t="s">
        <v>352</v>
      </c>
      <c r="C685" s="95">
        <v>2.0</v>
      </c>
      <c r="D685" s="3" t="s">
        <v>301</v>
      </c>
    </row>
    <row r="686">
      <c r="A686" s="3" t="s">
        <v>412</v>
      </c>
      <c r="B686" s="3" t="s">
        <v>227</v>
      </c>
      <c r="C686" s="95">
        <v>0.0</v>
      </c>
    </row>
    <row r="687">
      <c r="A687" s="3" t="s">
        <v>412</v>
      </c>
      <c r="B687" s="3" t="s">
        <v>360</v>
      </c>
      <c r="C687" s="95">
        <v>1.9</v>
      </c>
      <c r="D687" s="3" t="s">
        <v>282</v>
      </c>
    </row>
    <row r="688">
      <c r="A688" s="3" t="s">
        <v>413</v>
      </c>
      <c r="B688" s="3" t="s">
        <v>334</v>
      </c>
      <c r="C688" s="95">
        <v>0.0</v>
      </c>
    </row>
    <row r="689">
      <c r="A689" s="3" t="s">
        <v>413</v>
      </c>
      <c r="B689" s="3" t="s">
        <v>227</v>
      </c>
      <c r="C689" s="95">
        <v>0.0</v>
      </c>
    </row>
    <row r="690">
      <c r="A690" s="3" t="s">
        <v>413</v>
      </c>
      <c r="B690" s="3" t="s">
        <v>348</v>
      </c>
      <c r="C690" s="95">
        <v>0.0</v>
      </c>
    </row>
    <row r="691">
      <c r="A691" s="3" t="s">
        <v>414</v>
      </c>
      <c r="B691" s="3" t="s">
        <v>328</v>
      </c>
      <c r="C691" s="95">
        <v>0.0</v>
      </c>
    </row>
    <row r="692">
      <c r="A692" s="3" t="s">
        <v>414</v>
      </c>
      <c r="B692" s="3" t="s">
        <v>227</v>
      </c>
      <c r="C692" s="95">
        <v>0.0</v>
      </c>
    </row>
    <row r="693">
      <c r="A693" s="3" t="s">
        <v>414</v>
      </c>
      <c r="B693" s="3" t="s">
        <v>357</v>
      </c>
      <c r="C693" s="95">
        <v>0.0</v>
      </c>
    </row>
    <row r="694">
      <c r="A694" s="3" t="s">
        <v>415</v>
      </c>
      <c r="B694" s="3" t="s">
        <v>331</v>
      </c>
      <c r="C694" s="95">
        <v>0.0</v>
      </c>
    </row>
    <row r="695">
      <c r="A695" s="3" t="s">
        <v>415</v>
      </c>
      <c r="B695" s="3" t="s">
        <v>227</v>
      </c>
      <c r="C695" s="95">
        <v>0.0</v>
      </c>
    </row>
    <row r="696">
      <c r="A696" s="3" t="s">
        <v>415</v>
      </c>
      <c r="B696" s="3" t="s">
        <v>336</v>
      </c>
      <c r="C696" s="95">
        <v>0.0</v>
      </c>
    </row>
    <row r="697">
      <c r="A697" s="3" t="s">
        <v>416</v>
      </c>
      <c r="B697" s="3" t="s">
        <v>324</v>
      </c>
      <c r="C697" s="95">
        <v>0.0</v>
      </c>
    </row>
    <row r="698">
      <c r="A698" s="3" t="s">
        <v>416</v>
      </c>
      <c r="B698" s="3" t="s">
        <v>227</v>
      </c>
      <c r="C698" s="95">
        <v>0.0</v>
      </c>
    </row>
    <row r="699">
      <c r="A699" s="3" t="s">
        <v>416</v>
      </c>
      <c r="B699" s="3" t="s">
        <v>358</v>
      </c>
      <c r="C699" s="95">
        <v>0.0</v>
      </c>
    </row>
    <row r="700">
      <c r="A700" s="3" t="s">
        <v>417</v>
      </c>
      <c r="B700" s="3" t="s">
        <v>339</v>
      </c>
      <c r="C700" s="95">
        <v>0.0</v>
      </c>
    </row>
    <row r="701">
      <c r="A701" s="3" t="s">
        <v>417</v>
      </c>
      <c r="B701" s="3" t="s">
        <v>227</v>
      </c>
      <c r="C701" s="95">
        <v>0.0</v>
      </c>
    </row>
    <row r="702">
      <c r="A702" s="3" t="s">
        <v>417</v>
      </c>
      <c r="B702" s="3" t="s">
        <v>333</v>
      </c>
      <c r="C702" s="95">
        <v>0.0</v>
      </c>
    </row>
    <row r="703">
      <c r="A703" s="3" t="s">
        <v>418</v>
      </c>
      <c r="B703" s="3" t="s">
        <v>337</v>
      </c>
      <c r="C703" s="95">
        <v>0.0</v>
      </c>
    </row>
    <row r="704">
      <c r="A704" s="3" t="s">
        <v>418</v>
      </c>
      <c r="B704" s="3" t="s">
        <v>227</v>
      </c>
      <c r="C704" s="95">
        <v>0.0</v>
      </c>
    </row>
    <row r="705">
      <c r="A705" s="3" t="s">
        <v>418</v>
      </c>
      <c r="B705" s="3" t="s">
        <v>343</v>
      </c>
      <c r="C705" s="95">
        <v>0.0</v>
      </c>
    </row>
    <row r="706">
      <c r="A706" s="3" t="s">
        <v>419</v>
      </c>
      <c r="B706" s="3" t="s">
        <v>345</v>
      </c>
      <c r="C706" s="95">
        <v>0.0</v>
      </c>
    </row>
    <row r="707">
      <c r="A707" s="3" t="s">
        <v>419</v>
      </c>
      <c r="B707" s="3" t="s">
        <v>227</v>
      </c>
      <c r="C707" s="95">
        <v>0.0</v>
      </c>
    </row>
    <row r="708">
      <c r="A708" s="3" t="s">
        <v>419</v>
      </c>
      <c r="B708" s="3" t="s">
        <v>354</v>
      </c>
      <c r="C708" s="95">
        <v>0.0</v>
      </c>
    </row>
    <row r="709">
      <c r="A709" s="3" t="s">
        <v>420</v>
      </c>
      <c r="B709" s="3" t="s">
        <v>327</v>
      </c>
      <c r="C709" s="95">
        <v>0.0</v>
      </c>
    </row>
    <row r="710">
      <c r="A710" s="3" t="s">
        <v>420</v>
      </c>
      <c r="B710" s="3" t="s">
        <v>227</v>
      </c>
      <c r="C710" s="95">
        <v>0.0</v>
      </c>
    </row>
    <row r="711">
      <c r="A711" s="3" t="s">
        <v>420</v>
      </c>
      <c r="B711" s="3" t="s">
        <v>349</v>
      </c>
      <c r="C711" s="95">
        <v>0.0</v>
      </c>
    </row>
    <row r="712">
      <c r="A712" s="3" t="s">
        <v>421</v>
      </c>
      <c r="B712" s="3" t="s">
        <v>346</v>
      </c>
      <c r="C712" s="95">
        <v>0.0</v>
      </c>
    </row>
    <row r="713">
      <c r="A713" s="3" t="s">
        <v>421</v>
      </c>
      <c r="B713" s="3" t="s">
        <v>227</v>
      </c>
      <c r="C713" s="95">
        <v>0.0</v>
      </c>
    </row>
    <row r="714">
      <c r="A714" s="3" t="s">
        <v>421</v>
      </c>
      <c r="B714" s="3" t="s">
        <v>355</v>
      </c>
      <c r="C714" s="95">
        <v>0.0</v>
      </c>
    </row>
    <row r="715">
      <c r="A715" s="3" t="s">
        <v>422</v>
      </c>
      <c r="B715" s="3" t="s">
        <v>322</v>
      </c>
      <c r="C715" s="95">
        <v>0.0</v>
      </c>
    </row>
    <row r="716">
      <c r="A716" s="3" t="s">
        <v>422</v>
      </c>
      <c r="B716" s="3" t="s">
        <v>227</v>
      </c>
      <c r="C716" s="95">
        <v>0.0</v>
      </c>
    </row>
    <row r="717">
      <c r="A717" s="3" t="s">
        <v>422</v>
      </c>
      <c r="B717" s="3" t="s">
        <v>351</v>
      </c>
      <c r="C717" s="95">
        <v>0.0</v>
      </c>
    </row>
    <row r="718">
      <c r="A718" s="3" t="s">
        <v>423</v>
      </c>
      <c r="B718" s="3" t="s">
        <v>377</v>
      </c>
      <c r="C718" s="95">
        <v>0.0</v>
      </c>
    </row>
    <row r="719">
      <c r="A719" s="3" t="s">
        <v>423</v>
      </c>
      <c r="B719" s="3" t="s">
        <v>227</v>
      </c>
      <c r="C719" s="95">
        <v>0.0</v>
      </c>
    </row>
    <row r="720">
      <c r="A720" s="3" t="s">
        <v>423</v>
      </c>
      <c r="B720" s="3" t="s">
        <v>342</v>
      </c>
      <c r="C720" s="95">
        <v>0.0</v>
      </c>
    </row>
    <row r="721">
      <c r="A721" s="3" t="s">
        <v>424</v>
      </c>
      <c r="B721" s="3" t="s">
        <v>362</v>
      </c>
      <c r="C721" s="95">
        <v>0.0</v>
      </c>
    </row>
    <row r="722">
      <c r="A722" s="3" t="s">
        <v>424</v>
      </c>
      <c r="B722" s="3" t="s">
        <v>227</v>
      </c>
      <c r="C722" s="95">
        <v>0.0</v>
      </c>
    </row>
    <row r="723">
      <c r="A723" s="3" t="s">
        <v>424</v>
      </c>
      <c r="B723" s="3" t="s">
        <v>340</v>
      </c>
      <c r="C723" s="95">
        <v>0.0</v>
      </c>
    </row>
    <row r="724">
      <c r="A724" s="3" t="s">
        <v>425</v>
      </c>
      <c r="B724" s="3" t="s">
        <v>333</v>
      </c>
      <c r="C724" s="95">
        <v>0.0</v>
      </c>
    </row>
    <row r="725">
      <c r="A725" s="3" t="s">
        <v>425</v>
      </c>
      <c r="B725" s="3" t="s">
        <v>227</v>
      </c>
      <c r="C725" s="95">
        <v>0.0</v>
      </c>
    </row>
    <row r="726">
      <c r="A726" s="3" t="s">
        <v>425</v>
      </c>
      <c r="B726" s="3" t="s">
        <v>331</v>
      </c>
      <c r="C726" s="95">
        <v>0.0</v>
      </c>
    </row>
    <row r="727">
      <c r="A727" s="3" t="s">
        <v>426</v>
      </c>
      <c r="B727" s="3" t="s">
        <v>328</v>
      </c>
      <c r="C727" s="95">
        <v>0.0</v>
      </c>
    </row>
    <row r="728">
      <c r="A728" s="3" t="s">
        <v>426</v>
      </c>
      <c r="B728" s="3" t="s">
        <v>227</v>
      </c>
      <c r="C728" s="95">
        <v>0.0</v>
      </c>
    </row>
    <row r="729">
      <c r="A729" s="3" t="s">
        <v>426</v>
      </c>
      <c r="B729" s="3" t="s">
        <v>334</v>
      </c>
      <c r="C729" s="95">
        <v>0.0</v>
      </c>
    </row>
    <row r="730">
      <c r="A730" s="3" t="s">
        <v>427</v>
      </c>
      <c r="B730" s="3" t="s">
        <v>345</v>
      </c>
      <c r="C730" s="95">
        <v>0.0</v>
      </c>
    </row>
    <row r="731">
      <c r="A731" s="3" t="s">
        <v>427</v>
      </c>
      <c r="B731" s="3" t="s">
        <v>227</v>
      </c>
      <c r="C731" s="95">
        <v>0.0</v>
      </c>
    </row>
    <row r="732">
      <c r="A732" s="3" t="s">
        <v>427</v>
      </c>
      <c r="B732" s="3" t="s">
        <v>321</v>
      </c>
      <c r="C732" s="95">
        <v>0.0</v>
      </c>
    </row>
    <row r="733">
      <c r="A733" s="3" t="s">
        <v>428</v>
      </c>
      <c r="B733" s="3" t="s">
        <v>358</v>
      </c>
      <c r="C733" s="95">
        <v>0.0</v>
      </c>
    </row>
    <row r="734">
      <c r="A734" s="3" t="s">
        <v>428</v>
      </c>
      <c r="B734" s="3" t="s">
        <v>227</v>
      </c>
      <c r="C734" s="95">
        <v>0.0</v>
      </c>
    </row>
    <row r="735">
      <c r="A735" s="3" t="s">
        <v>428</v>
      </c>
      <c r="B735" s="3" t="s">
        <v>352</v>
      </c>
      <c r="C735" s="95">
        <v>0.0</v>
      </c>
    </row>
    <row r="736">
      <c r="A736" s="3" t="s">
        <v>429</v>
      </c>
      <c r="B736" s="3" t="s">
        <v>336</v>
      </c>
      <c r="C736" s="95">
        <v>0.0</v>
      </c>
    </row>
    <row r="737">
      <c r="A737" s="3" t="s">
        <v>429</v>
      </c>
      <c r="B737" s="3" t="s">
        <v>227</v>
      </c>
      <c r="C737" s="95">
        <v>0.0</v>
      </c>
    </row>
    <row r="738">
      <c r="A738" s="3" t="s">
        <v>429</v>
      </c>
      <c r="B738" s="3" t="s">
        <v>339</v>
      </c>
      <c r="C738" s="95">
        <v>0.0</v>
      </c>
    </row>
    <row r="739">
      <c r="A739" s="3" t="s">
        <v>430</v>
      </c>
      <c r="B739" s="3" t="s">
        <v>377</v>
      </c>
      <c r="C739" s="95">
        <v>0.0</v>
      </c>
    </row>
    <row r="740">
      <c r="A740" s="3" t="s">
        <v>430</v>
      </c>
      <c r="B740" s="3" t="s">
        <v>227</v>
      </c>
      <c r="C740" s="95">
        <v>0.0</v>
      </c>
    </row>
    <row r="741">
      <c r="A741" s="3" t="s">
        <v>430</v>
      </c>
      <c r="B741" s="3" t="s">
        <v>340</v>
      </c>
      <c r="C741" s="95">
        <v>0.0</v>
      </c>
    </row>
    <row r="742">
      <c r="A742" s="3" t="s">
        <v>431</v>
      </c>
      <c r="B742" s="3" t="s">
        <v>355</v>
      </c>
      <c r="C742" s="95">
        <v>0.0</v>
      </c>
    </row>
    <row r="743">
      <c r="A743" s="3" t="s">
        <v>431</v>
      </c>
      <c r="B743" s="3" t="s">
        <v>227</v>
      </c>
      <c r="C743" s="95">
        <v>0.0</v>
      </c>
    </row>
    <row r="744">
      <c r="A744" s="3" t="s">
        <v>431</v>
      </c>
      <c r="B744" s="3" t="s">
        <v>325</v>
      </c>
      <c r="C744" s="95">
        <v>0.0</v>
      </c>
    </row>
    <row r="745">
      <c r="A745" s="3" t="s">
        <v>433</v>
      </c>
      <c r="B745" s="3" t="s">
        <v>342</v>
      </c>
      <c r="C745" s="95">
        <v>0.0</v>
      </c>
    </row>
    <row r="746">
      <c r="A746" s="3" t="s">
        <v>433</v>
      </c>
      <c r="B746" s="3" t="s">
        <v>227</v>
      </c>
      <c r="C746" s="95">
        <v>0.0</v>
      </c>
    </row>
    <row r="747">
      <c r="A747" s="3" t="s">
        <v>433</v>
      </c>
      <c r="B747" s="3" t="s">
        <v>349</v>
      </c>
      <c r="C747" s="95">
        <v>0.0</v>
      </c>
    </row>
    <row r="748">
      <c r="A748" s="3" t="s">
        <v>434</v>
      </c>
      <c r="B748" s="3" t="s">
        <v>357</v>
      </c>
      <c r="C748" s="95">
        <v>0.0</v>
      </c>
    </row>
    <row r="749">
      <c r="A749" s="3" t="s">
        <v>434</v>
      </c>
      <c r="B749" s="3" t="s">
        <v>227</v>
      </c>
      <c r="C749" s="95">
        <v>0.0</v>
      </c>
    </row>
    <row r="750">
      <c r="A750" s="3" t="s">
        <v>434</v>
      </c>
      <c r="B750" s="3" t="s">
        <v>360</v>
      </c>
      <c r="C750" s="95">
        <v>0.0</v>
      </c>
    </row>
    <row r="751">
      <c r="A751" s="3" t="s">
        <v>435</v>
      </c>
      <c r="B751" s="3" t="s">
        <v>346</v>
      </c>
      <c r="C751" s="95">
        <v>0.0</v>
      </c>
    </row>
    <row r="752">
      <c r="A752" s="3" t="s">
        <v>435</v>
      </c>
      <c r="B752" s="3" t="s">
        <v>227</v>
      </c>
      <c r="C752" s="95">
        <v>0.0</v>
      </c>
    </row>
    <row r="753">
      <c r="A753" s="3" t="s">
        <v>435</v>
      </c>
      <c r="B753" s="3" t="s">
        <v>327</v>
      </c>
      <c r="C753" s="95">
        <v>0.0</v>
      </c>
    </row>
    <row r="754">
      <c r="A754" s="3" t="s">
        <v>436</v>
      </c>
      <c r="B754" s="3" t="s">
        <v>343</v>
      </c>
      <c r="C754" s="95">
        <v>0.0</v>
      </c>
    </row>
    <row r="755">
      <c r="A755" s="3" t="s">
        <v>436</v>
      </c>
      <c r="B755" s="3" t="s">
        <v>227</v>
      </c>
      <c r="C755" s="95">
        <v>0.0</v>
      </c>
    </row>
    <row r="756">
      <c r="A756" s="3" t="s">
        <v>436</v>
      </c>
      <c r="B756" s="3" t="s">
        <v>324</v>
      </c>
      <c r="C756" s="95">
        <v>0.0</v>
      </c>
    </row>
    <row r="757">
      <c r="A757" s="3" t="s">
        <v>438</v>
      </c>
      <c r="B757" s="3" t="s">
        <v>348</v>
      </c>
      <c r="C757" s="95">
        <v>0.0</v>
      </c>
    </row>
    <row r="758">
      <c r="A758" s="3" t="s">
        <v>438</v>
      </c>
      <c r="B758" s="3" t="s">
        <v>227</v>
      </c>
      <c r="C758" s="95">
        <v>0.0</v>
      </c>
    </row>
    <row r="759">
      <c r="A759" s="3" t="s">
        <v>438</v>
      </c>
      <c r="B759" s="3" t="s">
        <v>337</v>
      </c>
      <c r="C759" s="95">
        <v>0.0</v>
      </c>
    </row>
    <row r="760">
      <c r="A760" s="3" t="s">
        <v>442</v>
      </c>
      <c r="B760" s="3" t="s">
        <v>364</v>
      </c>
      <c r="C760" s="95">
        <v>0.0</v>
      </c>
    </row>
    <row r="761">
      <c r="A761" s="3" t="s">
        <v>442</v>
      </c>
      <c r="B761" s="3" t="s">
        <v>227</v>
      </c>
      <c r="C761" s="95">
        <v>0.0</v>
      </c>
    </row>
    <row r="762">
      <c r="A762" s="3" t="s">
        <v>442</v>
      </c>
      <c r="B762" s="3" t="s">
        <v>362</v>
      </c>
      <c r="C762" s="95">
        <v>0.0</v>
      </c>
    </row>
    <row r="763">
      <c r="A763" s="3" t="s">
        <v>448</v>
      </c>
      <c r="B763" s="3" t="s">
        <v>354</v>
      </c>
      <c r="C763" s="95">
        <v>0.0</v>
      </c>
    </row>
    <row r="764">
      <c r="A764" s="3" t="s">
        <v>448</v>
      </c>
      <c r="B764" s="3" t="s">
        <v>227</v>
      </c>
      <c r="C764" s="95">
        <v>0.0</v>
      </c>
    </row>
    <row r="765">
      <c r="A765" s="3" t="s">
        <v>448</v>
      </c>
      <c r="B765" s="3" t="s">
        <v>322</v>
      </c>
      <c r="C765" s="95">
        <v>0.0</v>
      </c>
    </row>
    <row r="766">
      <c r="A766" s="3" t="s">
        <v>455</v>
      </c>
      <c r="B766" s="3" t="s">
        <v>351</v>
      </c>
      <c r="C766" s="95">
        <v>0.0</v>
      </c>
    </row>
    <row r="767">
      <c r="A767" s="3" t="s">
        <v>455</v>
      </c>
      <c r="B767" s="3" t="s">
        <v>227</v>
      </c>
      <c r="C767" s="95">
        <v>0.0</v>
      </c>
    </row>
    <row r="768">
      <c r="A768" s="3" t="s">
        <v>455</v>
      </c>
      <c r="B768" s="3" t="s">
        <v>319</v>
      </c>
      <c r="C768" s="95">
        <v>0.0</v>
      </c>
    </row>
    <row r="769">
      <c r="A769" s="3" t="s">
        <v>462</v>
      </c>
      <c r="B769" s="3" t="s">
        <v>368</v>
      </c>
      <c r="C769" s="95">
        <v>0.0</v>
      </c>
    </row>
    <row r="770">
      <c r="A770" s="3" t="s">
        <v>462</v>
      </c>
      <c r="B770" s="3" t="s">
        <v>227</v>
      </c>
      <c r="C770" s="95">
        <v>0.0</v>
      </c>
    </row>
    <row r="771">
      <c r="A771" s="3" t="s">
        <v>462</v>
      </c>
      <c r="B771" s="3" t="s">
        <v>330</v>
      </c>
      <c r="C771" s="95">
        <v>0.0</v>
      </c>
    </row>
    <row r="772">
      <c r="A772" s="3" t="s">
        <v>467</v>
      </c>
      <c r="B772" s="3" t="s">
        <v>358</v>
      </c>
      <c r="C772" s="95">
        <v>0.0</v>
      </c>
    </row>
    <row r="773">
      <c r="A773" s="3" t="s">
        <v>467</v>
      </c>
      <c r="B773" s="3" t="s">
        <v>227</v>
      </c>
      <c r="C773" s="95">
        <v>0.0</v>
      </c>
    </row>
    <row r="774">
      <c r="A774" s="3" t="s">
        <v>467</v>
      </c>
      <c r="B774" s="3" t="s">
        <v>328</v>
      </c>
      <c r="C774" s="95">
        <v>0.0</v>
      </c>
    </row>
    <row r="775">
      <c r="A775" s="3" t="s">
        <v>470</v>
      </c>
      <c r="B775" s="3" t="s">
        <v>331</v>
      </c>
      <c r="C775" s="95">
        <v>0.0</v>
      </c>
    </row>
    <row r="776">
      <c r="A776" s="3" t="s">
        <v>470</v>
      </c>
      <c r="B776" s="3" t="s">
        <v>227</v>
      </c>
      <c r="C776" s="95">
        <v>0.0</v>
      </c>
    </row>
    <row r="777">
      <c r="A777" s="3" t="s">
        <v>470</v>
      </c>
      <c r="B777" s="3" t="s">
        <v>324</v>
      </c>
      <c r="C777" s="95">
        <v>0.0</v>
      </c>
    </row>
    <row r="778">
      <c r="A778" s="3" t="s">
        <v>475</v>
      </c>
      <c r="B778" s="3" t="s">
        <v>321</v>
      </c>
      <c r="C778" s="95">
        <v>0.0</v>
      </c>
    </row>
    <row r="779">
      <c r="A779" s="3" t="s">
        <v>475</v>
      </c>
      <c r="B779" s="3" t="s">
        <v>227</v>
      </c>
      <c r="C779" s="95">
        <v>0.0</v>
      </c>
    </row>
    <row r="780">
      <c r="A780" s="3" t="s">
        <v>475</v>
      </c>
      <c r="B780" s="3" t="s">
        <v>346</v>
      </c>
      <c r="C780" s="95">
        <v>0.0</v>
      </c>
    </row>
    <row r="781">
      <c r="A781" s="3" t="s">
        <v>476</v>
      </c>
      <c r="B781" s="3" t="s">
        <v>327</v>
      </c>
      <c r="C781" s="95">
        <v>0.0</v>
      </c>
    </row>
    <row r="782">
      <c r="A782" s="3" t="s">
        <v>476</v>
      </c>
      <c r="B782" s="3" t="s">
        <v>227</v>
      </c>
      <c r="C782" s="95">
        <v>0.0</v>
      </c>
    </row>
    <row r="783">
      <c r="A783" s="3" t="s">
        <v>476</v>
      </c>
      <c r="B783" s="3" t="s">
        <v>364</v>
      </c>
      <c r="C783" s="95">
        <v>0.0</v>
      </c>
    </row>
    <row r="784">
      <c r="A784" s="3" t="s">
        <v>478</v>
      </c>
      <c r="B784" s="3" t="s">
        <v>333</v>
      </c>
      <c r="C784" s="95">
        <v>0.0</v>
      </c>
    </row>
    <row r="785">
      <c r="A785" s="3" t="s">
        <v>478</v>
      </c>
      <c r="B785" s="3" t="s">
        <v>227</v>
      </c>
      <c r="C785" s="95">
        <v>0.0</v>
      </c>
    </row>
    <row r="786">
      <c r="A786" s="3" t="s">
        <v>478</v>
      </c>
      <c r="B786" s="3" t="s">
        <v>336</v>
      </c>
      <c r="C786" s="95">
        <v>0.0</v>
      </c>
    </row>
    <row r="787">
      <c r="A787" s="3" t="s">
        <v>479</v>
      </c>
      <c r="B787" s="3" t="s">
        <v>349</v>
      </c>
      <c r="C787" s="95">
        <v>0.0</v>
      </c>
    </row>
    <row r="788">
      <c r="A788" s="3" t="s">
        <v>479</v>
      </c>
      <c r="B788" s="3" t="s">
        <v>227</v>
      </c>
      <c r="C788" s="95">
        <v>0.0</v>
      </c>
    </row>
    <row r="789">
      <c r="A789" s="3" t="s">
        <v>479</v>
      </c>
      <c r="B789" s="3" t="s">
        <v>377</v>
      </c>
      <c r="C789" s="95">
        <v>0.0</v>
      </c>
    </row>
    <row r="790">
      <c r="A790" s="3" t="s">
        <v>481</v>
      </c>
      <c r="B790" s="3" t="s">
        <v>325</v>
      </c>
      <c r="C790" s="95">
        <v>0.0</v>
      </c>
    </row>
    <row r="791">
      <c r="A791" s="3" t="s">
        <v>481</v>
      </c>
      <c r="B791" s="3" t="s">
        <v>227</v>
      </c>
      <c r="C791" s="95">
        <v>0.0</v>
      </c>
    </row>
    <row r="792">
      <c r="A792" s="3" t="s">
        <v>481</v>
      </c>
      <c r="B792" s="3" t="s">
        <v>354</v>
      </c>
      <c r="C792" s="95">
        <v>0.0</v>
      </c>
    </row>
    <row r="793">
      <c r="A793" s="3" t="s">
        <v>482</v>
      </c>
      <c r="B793" s="3" t="s">
        <v>368</v>
      </c>
      <c r="C793" s="95">
        <v>0.0</v>
      </c>
    </row>
    <row r="794">
      <c r="A794" s="3" t="s">
        <v>482</v>
      </c>
      <c r="B794" s="3" t="s">
        <v>227</v>
      </c>
      <c r="C794" s="95">
        <v>0.0</v>
      </c>
    </row>
    <row r="795">
      <c r="A795" s="3" t="s">
        <v>482</v>
      </c>
      <c r="B795" s="3" t="s">
        <v>362</v>
      </c>
      <c r="C795" s="95">
        <v>0.0</v>
      </c>
    </row>
    <row r="796">
      <c r="A796" s="3" t="s">
        <v>484</v>
      </c>
      <c r="B796" s="3" t="s">
        <v>330</v>
      </c>
      <c r="C796" s="95">
        <v>0.0</v>
      </c>
    </row>
    <row r="797">
      <c r="A797" s="3" t="s">
        <v>484</v>
      </c>
      <c r="B797" s="3" t="s">
        <v>227</v>
      </c>
      <c r="C797" s="95">
        <v>0.0</v>
      </c>
    </row>
    <row r="798">
      <c r="A798" s="3" t="s">
        <v>484</v>
      </c>
      <c r="B798" s="3" t="s">
        <v>343</v>
      </c>
      <c r="C798" s="95">
        <v>0.0</v>
      </c>
    </row>
    <row r="799">
      <c r="A799" s="3" t="s">
        <v>486</v>
      </c>
      <c r="B799" s="3" t="s">
        <v>339</v>
      </c>
      <c r="C799" s="95">
        <v>0.0</v>
      </c>
    </row>
    <row r="800">
      <c r="A800" s="3" t="s">
        <v>486</v>
      </c>
      <c r="B800" s="3" t="s">
        <v>227</v>
      </c>
      <c r="C800" s="95">
        <v>0.0</v>
      </c>
    </row>
    <row r="801">
      <c r="A801" s="3" t="s">
        <v>486</v>
      </c>
      <c r="B801" s="3" t="s">
        <v>342</v>
      </c>
      <c r="C801" s="95">
        <v>0.0</v>
      </c>
    </row>
    <row r="802">
      <c r="A802" s="3" t="s">
        <v>487</v>
      </c>
      <c r="B802" s="3" t="s">
        <v>322</v>
      </c>
      <c r="C802" s="95">
        <v>0.0</v>
      </c>
    </row>
    <row r="803">
      <c r="A803" s="3" t="s">
        <v>487</v>
      </c>
      <c r="B803" s="3" t="s">
        <v>227</v>
      </c>
      <c r="C803" s="95">
        <v>0.0</v>
      </c>
    </row>
    <row r="804">
      <c r="A804" s="3" t="s">
        <v>487</v>
      </c>
      <c r="B804" s="3" t="s">
        <v>337</v>
      </c>
      <c r="C804" s="95">
        <v>0.0</v>
      </c>
    </row>
    <row r="805">
      <c r="A805" s="3" t="s">
        <v>488</v>
      </c>
      <c r="B805" s="3" t="s">
        <v>355</v>
      </c>
      <c r="C805" s="95">
        <v>0.0</v>
      </c>
    </row>
    <row r="806">
      <c r="A806" s="3" t="s">
        <v>488</v>
      </c>
      <c r="B806" s="3" t="s">
        <v>227</v>
      </c>
      <c r="C806" s="95">
        <v>0.0</v>
      </c>
    </row>
    <row r="807">
      <c r="A807" s="3" t="s">
        <v>488</v>
      </c>
      <c r="B807" s="3" t="s">
        <v>345</v>
      </c>
      <c r="C807" s="95">
        <v>0.0</v>
      </c>
    </row>
    <row r="808">
      <c r="A808" s="3" t="s">
        <v>489</v>
      </c>
      <c r="B808" s="3" t="s">
        <v>334</v>
      </c>
      <c r="C808" s="95">
        <v>0.0</v>
      </c>
    </row>
    <row r="809">
      <c r="A809" s="3" t="s">
        <v>489</v>
      </c>
      <c r="B809" s="3" t="s">
        <v>227</v>
      </c>
      <c r="C809" s="95">
        <v>0.0</v>
      </c>
    </row>
    <row r="810">
      <c r="A810" s="3" t="s">
        <v>489</v>
      </c>
      <c r="B810" s="3" t="s">
        <v>357</v>
      </c>
      <c r="C810" s="95">
        <v>0.0</v>
      </c>
    </row>
    <row r="811">
      <c r="A811" s="3" t="s">
        <v>490</v>
      </c>
      <c r="B811" s="3" t="s">
        <v>340</v>
      </c>
      <c r="C811" s="95">
        <v>0.0</v>
      </c>
    </row>
    <row r="812">
      <c r="A812" s="3" t="s">
        <v>490</v>
      </c>
      <c r="B812" s="3" t="s">
        <v>227</v>
      </c>
      <c r="C812" s="95">
        <v>0.0</v>
      </c>
    </row>
    <row r="813">
      <c r="A813" s="3" t="s">
        <v>490</v>
      </c>
      <c r="B813" s="3" t="s">
        <v>319</v>
      </c>
      <c r="C813" s="95">
        <v>0.0</v>
      </c>
    </row>
    <row r="814">
      <c r="A814" s="3" t="s">
        <v>493</v>
      </c>
      <c r="B814" s="3" t="s">
        <v>348</v>
      </c>
      <c r="C814" s="95">
        <v>0.0</v>
      </c>
    </row>
    <row r="815">
      <c r="A815" s="3" t="s">
        <v>493</v>
      </c>
      <c r="B815" s="3" t="s">
        <v>227</v>
      </c>
      <c r="C815" s="95">
        <v>0.0</v>
      </c>
    </row>
    <row r="816">
      <c r="A816" s="3" t="s">
        <v>493</v>
      </c>
      <c r="B816" s="3" t="s">
        <v>351</v>
      </c>
      <c r="C816" s="95">
        <v>0.0</v>
      </c>
    </row>
    <row r="817">
      <c r="A817" s="3" t="s">
        <v>496</v>
      </c>
      <c r="B817" s="3" t="s">
        <v>360</v>
      </c>
      <c r="C817" s="95">
        <v>0.0</v>
      </c>
    </row>
    <row r="818">
      <c r="A818" s="3" t="s">
        <v>496</v>
      </c>
      <c r="B818" s="3" t="s">
        <v>227</v>
      </c>
      <c r="C818" s="95">
        <v>0.0</v>
      </c>
    </row>
    <row r="819">
      <c r="A819" s="3" t="s">
        <v>496</v>
      </c>
      <c r="B819" s="3" t="s">
        <v>352</v>
      </c>
      <c r="C819" s="95">
        <v>0.0</v>
      </c>
    </row>
  </sheetData>
  <conditionalFormatting sqref="G4:G63">
    <cfRule type="cellIs" dxfId="3" priority="1" operator="greaterThan">
      <formula>0</formula>
    </cfRule>
  </conditionalFormatting>
  <conditionalFormatting sqref="G4:G63">
    <cfRule type="cellIs" dxfId="1" priority="2" operator="lessThan">
      <formula>0</formula>
    </cfRule>
  </conditionalFormatting>
  <dataValidations>
    <dataValidation type="list" allowBlank="1" showErrorMessage="1" sqref="G1">
      <formula1>"Premier League,Championship,Champions League,La Liga,Seria A,NBA,NFL"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3" t="s">
        <v>86</v>
      </c>
      <c r="B1" s="3" t="s">
        <v>215</v>
      </c>
      <c r="C1" s="3" t="s">
        <v>208</v>
      </c>
      <c r="D1" s="3" t="s">
        <v>209</v>
      </c>
      <c r="E1" s="3" t="s">
        <v>216</v>
      </c>
      <c r="F1" s="3" t="s">
        <v>218</v>
      </c>
      <c r="G1" s="3" t="s">
        <v>219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25"/>
    <col customWidth="1" min="2" max="2" width="123.75"/>
    <col customWidth="1" min="3" max="3" width="64.5"/>
  </cols>
  <sheetData>
    <row r="1">
      <c r="A1" s="3" t="s">
        <v>246</v>
      </c>
      <c r="B1" s="3" t="s">
        <v>11</v>
      </c>
      <c r="C1" s="3" t="s">
        <v>249</v>
      </c>
    </row>
    <row r="2">
      <c r="A2" s="3" t="s">
        <v>251</v>
      </c>
      <c r="B2" s="3" t="s">
        <v>252</v>
      </c>
    </row>
    <row r="3">
      <c r="A3" s="3" t="s">
        <v>253</v>
      </c>
      <c r="B3" s="3" t="s">
        <v>254</v>
      </c>
      <c r="C3" s="3" t="s">
        <v>255</v>
      </c>
    </row>
    <row r="4">
      <c r="A4" s="3" t="s">
        <v>256</v>
      </c>
      <c r="B4" s="3" t="s">
        <v>254</v>
      </c>
      <c r="C4" s="3" t="s">
        <v>257</v>
      </c>
    </row>
    <row r="7">
      <c r="A7" s="3" t="s">
        <v>258</v>
      </c>
    </row>
    <row r="9">
      <c r="A9" s="3" t="s">
        <v>259</v>
      </c>
      <c r="B9" s="3" t="s">
        <v>260</v>
      </c>
    </row>
    <row r="10">
      <c r="A10" s="3" t="s">
        <v>261</v>
      </c>
      <c r="B10" s="3" t="s">
        <v>262</v>
      </c>
    </row>
    <row r="11">
      <c r="A11" s="3" t="s">
        <v>263</v>
      </c>
      <c r="B11" s="3" t="s">
        <v>264</v>
      </c>
    </row>
    <row r="12">
      <c r="A12" s="3" t="s">
        <v>265</v>
      </c>
      <c r="B12" s="3" t="s">
        <v>267</v>
      </c>
    </row>
    <row r="13">
      <c r="A13" s="3" t="s">
        <v>268</v>
      </c>
      <c r="B13" s="3" t="s">
        <v>269</v>
      </c>
    </row>
    <row r="14">
      <c r="A14" s="3" t="s">
        <v>270</v>
      </c>
      <c r="B14" s="3" t="s">
        <v>271</v>
      </c>
    </row>
    <row r="17">
      <c r="A17" s="3" t="s">
        <v>272</v>
      </c>
    </row>
    <row r="18">
      <c r="A18" s="3" t="s">
        <v>138</v>
      </c>
      <c r="B18" s="3" t="s">
        <v>273</v>
      </c>
    </row>
    <row r="19">
      <c r="A19" s="3" t="s">
        <v>274</v>
      </c>
      <c r="B19" s="103">
        <v>46266.0</v>
      </c>
    </row>
    <row r="20">
      <c r="A20" s="3" t="s">
        <v>276</v>
      </c>
      <c r="B20" s="3" t="s">
        <v>277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6" max="6" width="22.5"/>
  </cols>
  <sheetData>
    <row r="1">
      <c r="A1" s="50" t="s">
        <v>292</v>
      </c>
      <c r="B1" s="94" t="s">
        <v>293</v>
      </c>
      <c r="F1" s="50" t="s">
        <v>294</v>
      </c>
    </row>
    <row r="2">
      <c r="B2" s="105"/>
    </row>
    <row r="3">
      <c r="A3" s="3" t="s">
        <v>296</v>
      </c>
      <c r="B3" s="106" t="s">
        <v>292</v>
      </c>
      <c r="C3" s="3" t="s">
        <v>297</v>
      </c>
      <c r="D3" s="3" t="s">
        <v>11</v>
      </c>
      <c r="F3" s="3" t="s">
        <v>298</v>
      </c>
    </row>
    <row r="4">
      <c r="A4" s="3" t="s">
        <v>299</v>
      </c>
      <c r="B4" s="106">
        <v>46260.0</v>
      </c>
      <c r="C4" s="3" t="s">
        <v>302</v>
      </c>
      <c r="D4" s="3" t="s">
        <v>303</v>
      </c>
      <c r="F4" s="36" t="str">
        <f>IFERROR(__xludf.DUMMYFUNCTION("IFERROR(INDEX(SORT(FILTER({A4:A100,B4:B100,IF(C4:C100=""HIGH"",1,IF(C4:C100=""MEDIUM"",2,3))},A4:A100&lt;&gt;"""",D4:D100&lt;&gt;""DONE""),3,TRUE,2,TRUE),1,1),""NO TASKS"")"),"SUBMIT PRESENTATION")</f>
        <v>SUBMIT PRESENTATION</v>
      </c>
    </row>
    <row r="5">
      <c r="A5" s="3" t="s">
        <v>304</v>
      </c>
      <c r="B5" s="106">
        <v>46262.0</v>
      </c>
      <c r="C5" s="3" t="s">
        <v>305</v>
      </c>
      <c r="D5" s="3" t="s">
        <v>303</v>
      </c>
    </row>
    <row r="6">
      <c r="A6" s="3" t="s">
        <v>306</v>
      </c>
      <c r="B6" s="106">
        <v>46264.0</v>
      </c>
      <c r="C6" s="3" t="s">
        <v>302</v>
      </c>
      <c r="D6" s="3" t="s">
        <v>303</v>
      </c>
      <c r="F6" s="3" t="s">
        <v>11</v>
      </c>
    </row>
    <row r="7">
      <c r="B7" s="105"/>
      <c r="F7" s="36" t="str">
        <f>IF(COUNTA(A4:A100)=0,"NO TASKS",IF(COUNTIFS(A4:A100,"&lt;&gt;",B4:B100,"")+COUNTIFS(A4:A100,"&lt;&gt;",C4:C100,"")+COUNTIFS(A4:A100,"&lt;&gt;",D4:D100,"")&gt;0,"MISSING INFORMATION","READY"))</f>
        <v>READY</v>
      </c>
    </row>
    <row r="8">
      <c r="B8" s="105"/>
    </row>
    <row r="9">
      <c r="B9" s="105"/>
    </row>
    <row r="10">
      <c r="B10" s="105"/>
    </row>
    <row r="11">
      <c r="B11" s="105"/>
    </row>
    <row r="12">
      <c r="B12" s="105"/>
    </row>
    <row r="13">
      <c r="B13" s="105"/>
    </row>
    <row r="14">
      <c r="B14" s="105"/>
    </row>
    <row r="15">
      <c r="B15" s="105"/>
    </row>
    <row r="16">
      <c r="B16" s="105"/>
    </row>
    <row r="17">
      <c r="B17" s="105"/>
    </row>
    <row r="18">
      <c r="B18" s="105"/>
    </row>
    <row r="19">
      <c r="B19" s="105"/>
    </row>
    <row r="20">
      <c r="B20" s="105"/>
    </row>
    <row r="21">
      <c r="B21" s="105"/>
    </row>
    <row r="22">
      <c r="B22" s="105"/>
    </row>
    <row r="23">
      <c r="B23" s="105"/>
    </row>
    <row r="24">
      <c r="B24" s="105"/>
    </row>
    <row r="25">
      <c r="B25" s="105"/>
    </row>
    <row r="26">
      <c r="B26" s="105"/>
    </row>
    <row r="27">
      <c r="B27" s="105"/>
    </row>
    <row r="28">
      <c r="B28" s="105"/>
    </row>
    <row r="29">
      <c r="B29" s="105"/>
    </row>
    <row r="30">
      <c r="B30" s="105"/>
    </row>
    <row r="31">
      <c r="B31" s="105"/>
    </row>
    <row r="32">
      <c r="B32" s="105"/>
    </row>
    <row r="33">
      <c r="B33" s="105"/>
    </row>
    <row r="34">
      <c r="B34" s="105"/>
    </row>
    <row r="35">
      <c r="B35" s="105"/>
    </row>
    <row r="36">
      <c r="B36" s="105"/>
    </row>
    <row r="37">
      <c r="B37" s="105"/>
    </row>
    <row r="38">
      <c r="B38" s="105"/>
    </row>
    <row r="39">
      <c r="B39" s="105"/>
    </row>
    <row r="40">
      <c r="B40" s="105"/>
    </row>
    <row r="41">
      <c r="B41" s="105"/>
    </row>
    <row r="42">
      <c r="B42" s="105"/>
    </row>
    <row r="43">
      <c r="B43" s="105"/>
    </row>
    <row r="44">
      <c r="B44" s="105"/>
    </row>
    <row r="45">
      <c r="B45" s="105"/>
    </row>
    <row r="46">
      <c r="B46" s="105"/>
    </row>
    <row r="47">
      <c r="B47" s="105"/>
    </row>
    <row r="48">
      <c r="B48" s="105"/>
    </row>
    <row r="49">
      <c r="B49" s="105"/>
    </row>
    <row r="50">
      <c r="B50" s="105"/>
    </row>
    <row r="51">
      <c r="B51" s="105"/>
    </row>
    <row r="52">
      <c r="B52" s="105"/>
    </row>
    <row r="53">
      <c r="B53" s="105"/>
    </row>
    <row r="54">
      <c r="B54" s="105"/>
    </row>
    <row r="55">
      <c r="B55" s="105"/>
    </row>
    <row r="56">
      <c r="B56" s="105"/>
    </row>
    <row r="57">
      <c r="B57" s="105"/>
    </row>
    <row r="58">
      <c r="B58" s="105"/>
    </row>
    <row r="59">
      <c r="B59" s="105"/>
    </row>
    <row r="60">
      <c r="B60" s="105"/>
    </row>
    <row r="61">
      <c r="B61" s="105"/>
    </row>
    <row r="62">
      <c r="B62" s="105"/>
    </row>
    <row r="63">
      <c r="B63" s="105"/>
    </row>
    <row r="64">
      <c r="B64" s="105"/>
    </row>
    <row r="65">
      <c r="B65" s="105"/>
    </row>
    <row r="66">
      <c r="B66" s="105"/>
    </row>
    <row r="67">
      <c r="B67" s="105"/>
    </row>
    <row r="68">
      <c r="B68" s="105"/>
    </row>
    <row r="69">
      <c r="B69" s="105"/>
    </row>
    <row r="70">
      <c r="B70" s="105"/>
    </row>
    <row r="71">
      <c r="B71" s="105"/>
    </row>
    <row r="72">
      <c r="B72" s="105"/>
    </row>
    <row r="73">
      <c r="B73" s="105"/>
    </row>
    <row r="74">
      <c r="B74" s="105"/>
    </row>
    <row r="75">
      <c r="B75" s="105"/>
    </row>
    <row r="76">
      <c r="B76" s="105"/>
    </row>
    <row r="77">
      <c r="B77" s="105"/>
    </row>
    <row r="78">
      <c r="B78" s="105"/>
    </row>
    <row r="79">
      <c r="B79" s="105"/>
    </row>
    <row r="80">
      <c r="B80" s="105"/>
    </row>
    <row r="81">
      <c r="B81" s="105"/>
    </row>
    <row r="82">
      <c r="B82" s="105"/>
    </row>
    <row r="83">
      <c r="B83" s="105"/>
    </row>
    <row r="84">
      <c r="B84" s="105"/>
    </row>
    <row r="85">
      <c r="B85" s="105"/>
    </row>
    <row r="86">
      <c r="B86" s="105"/>
    </row>
    <row r="87">
      <c r="B87" s="105"/>
    </row>
    <row r="88">
      <c r="B88" s="105"/>
    </row>
    <row r="89">
      <c r="B89" s="105"/>
    </row>
    <row r="90">
      <c r="B90" s="105"/>
    </row>
    <row r="91">
      <c r="B91" s="105"/>
    </row>
    <row r="92">
      <c r="B92" s="105"/>
    </row>
    <row r="93">
      <c r="B93" s="105"/>
    </row>
    <row r="94">
      <c r="B94" s="105"/>
    </row>
    <row r="95">
      <c r="B95" s="105"/>
    </row>
    <row r="96">
      <c r="B96" s="105"/>
    </row>
    <row r="97">
      <c r="B97" s="105"/>
    </row>
    <row r="98">
      <c r="B98" s="105"/>
    </row>
    <row r="99">
      <c r="B99" s="105"/>
    </row>
    <row r="100">
      <c r="B100" s="105"/>
    </row>
    <row r="101">
      <c r="B101" s="105"/>
    </row>
    <row r="102">
      <c r="B102" s="105"/>
    </row>
    <row r="103">
      <c r="B103" s="105"/>
    </row>
    <row r="104">
      <c r="B104" s="105"/>
    </row>
    <row r="105">
      <c r="B105" s="105"/>
    </row>
    <row r="106">
      <c r="B106" s="105"/>
    </row>
    <row r="107">
      <c r="B107" s="105"/>
    </row>
    <row r="108">
      <c r="B108" s="105"/>
    </row>
    <row r="109">
      <c r="B109" s="105"/>
    </row>
    <row r="110">
      <c r="B110" s="105"/>
    </row>
    <row r="111">
      <c r="B111" s="105"/>
    </row>
    <row r="112">
      <c r="B112" s="105"/>
    </row>
    <row r="113">
      <c r="B113" s="105"/>
    </row>
    <row r="114">
      <c r="B114" s="105"/>
    </row>
    <row r="115">
      <c r="B115" s="105"/>
    </row>
    <row r="116">
      <c r="B116" s="105"/>
    </row>
    <row r="117">
      <c r="B117" s="105"/>
    </row>
    <row r="118">
      <c r="B118" s="105"/>
    </row>
    <row r="119">
      <c r="B119" s="105"/>
    </row>
    <row r="120">
      <c r="B120" s="105"/>
    </row>
    <row r="121">
      <c r="B121" s="105"/>
    </row>
    <row r="122">
      <c r="B122" s="105"/>
    </row>
    <row r="123">
      <c r="B123" s="105"/>
    </row>
    <row r="124">
      <c r="B124" s="105"/>
    </row>
    <row r="125">
      <c r="B125" s="105"/>
    </row>
    <row r="126">
      <c r="B126" s="105"/>
    </row>
    <row r="127">
      <c r="B127" s="105"/>
    </row>
    <row r="128">
      <c r="B128" s="105"/>
    </row>
    <row r="129">
      <c r="B129" s="105"/>
    </row>
    <row r="130">
      <c r="B130" s="105"/>
    </row>
    <row r="131">
      <c r="B131" s="105"/>
    </row>
    <row r="132">
      <c r="B132" s="105"/>
    </row>
    <row r="133">
      <c r="B133" s="105"/>
    </row>
    <row r="134">
      <c r="B134" s="105"/>
    </row>
    <row r="135">
      <c r="B135" s="105"/>
    </row>
    <row r="136">
      <c r="B136" s="105"/>
    </row>
    <row r="137">
      <c r="B137" s="105"/>
    </row>
    <row r="138">
      <c r="B138" s="105"/>
    </row>
    <row r="139">
      <c r="B139" s="105"/>
    </row>
    <row r="140">
      <c r="B140" s="105"/>
    </row>
    <row r="141">
      <c r="B141" s="105"/>
    </row>
    <row r="142">
      <c r="B142" s="105"/>
    </row>
    <row r="143">
      <c r="B143" s="105"/>
    </row>
    <row r="144">
      <c r="B144" s="105"/>
    </row>
    <row r="145">
      <c r="B145" s="105"/>
    </row>
    <row r="146">
      <c r="B146" s="105"/>
    </row>
    <row r="147">
      <c r="B147" s="105"/>
    </row>
    <row r="148">
      <c r="B148" s="105"/>
    </row>
    <row r="149">
      <c r="B149" s="105"/>
    </row>
    <row r="150">
      <c r="B150" s="105"/>
    </row>
    <row r="151">
      <c r="B151" s="105"/>
    </row>
    <row r="152">
      <c r="B152" s="105"/>
    </row>
    <row r="153">
      <c r="B153" s="105"/>
    </row>
    <row r="154">
      <c r="B154" s="105"/>
    </row>
    <row r="155">
      <c r="B155" s="105"/>
    </row>
    <row r="156">
      <c r="B156" s="105"/>
    </row>
    <row r="157">
      <c r="B157" s="105"/>
    </row>
    <row r="158">
      <c r="B158" s="105"/>
    </row>
    <row r="159">
      <c r="B159" s="105"/>
    </row>
    <row r="160">
      <c r="B160" s="105"/>
    </row>
    <row r="161">
      <c r="B161" s="105"/>
    </row>
    <row r="162">
      <c r="B162" s="105"/>
    </row>
    <row r="163">
      <c r="B163" s="105"/>
    </row>
    <row r="164">
      <c r="B164" s="105"/>
    </row>
    <row r="165">
      <c r="B165" s="105"/>
    </row>
    <row r="166">
      <c r="B166" s="105"/>
    </row>
    <row r="167">
      <c r="B167" s="105"/>
    </row>
    <row r="168">
      <c r="B168" s="105"/>
    </row>
    <row r="169">
      <c r="B169" s="105"/>
    </row>
    <row r="170">
      <c r="B170" s="105"/>
    </row>
    <row r="171">
      <c r="B171" s="105"/>
    </row>
    <row r="172">
      <c r="B172" s="105"/>
    </row>
    <row r="173">
      <c r="B173" s="105"/>
    </row>
    <row r="174">
      <c r="B174" s="105"/>
    </row>
    <row r="175">
      <c r="B175" s="105"/>
    </row>
    <row r="176">
      <c r="B176" s="105"/>
    </row>
    <row r="177">
      <c r="B177" s="105"/>
    </row>
    <row r="178">
      <c r="B178" s="105"/>
    </row>
    <row r="179">
      <c r="B179" s="105"/>
    </row>
    <row r="180">
      <c r="B180" s="105"/>
    </row>
    <row r="181">
      <c r="B181" s="105"/>
    </row>
    <row r="182">
      <c r="B182" s="105"/>
    </row>
    <row r="183">
      <c r="B183" s="105"/>
    </row>
    <row r="184">
      <c r="B184" s="105"/>
    </row>
    <row r="185">
      <c r="B185" s="105"/>
    </row>
    <row r="186">
      <c r="B186" s="105"/>
    </row>
    <row r="187">
      <c r="B187" s="105"/>
    </row>
    <row r="188">
      <c r="B188" s="105"/>
    </row>
    <row r="189">
      <c r="B189" s="105"/>
    </row>
    <row r="190">
      <c r="B190" s="105"/>
    </row>
    <row r="191">
      <c r="B191" s="105"/>
    </row>
    <row r="192">
      <c r="B192" s="105"/>
    </row>
    <row r="193">
      <c r="B193" s="105"/>
    </row>
    <row r="194">
      <c r="B194" s="105"/>
    </row>
    <row r="195">
      <c r="B195" s="105"/>
    </row>
    <row r="196">
      <c r="B196" s="105"/>
    </row>
    <row r="197">
      <c r="B197" s="105"/>
    </row>
    <row r="198">
      <c r="B198" s="105"/>
    </row>
    <row r="199">
      <c r="B199" s="105"/>
    </row>
    <row r="200">
      <c r="B200" s="105"/>
    </row>
    <row r="201">
      <c r="B201" s="105"/>
    </row>
    <row r="202">
      <c r="B202" s="105"/>
    </row>
    <row r="203">
      <c r="B203" s="105"/>
    </row>
    <row r="204">
      <c r="B204" s="105"/>
    </row>
    <row r="205">
      <c r="B205" s="105"/>
    </row>
    <row r="206">
      <c r="B206" s="105"/>
    </row>
    <row r="207">
      <c r="B207" s="105"/>
    </row>
    <row r="208">
      <c r="B208" s="105"/>
    </row>
    <row r="209">
      <c r="B209" s="105"/>
    </row>
    <row r="210">
      <c r="B210" s="105"/>
    </row>
    <row r="211">
      <c r="B211" s="105"/>
    </row>
    <row r="212">
      <c r="B212" s="105"/>
    </row>
    <row r="213">
      <c r="B213" s="105"/>
    </row>
    <row r="214">
      <c r="B214" s="105"/>
    </row>
    <row r="215">
      <c r="B215" s="105"/>
    </row>
    <row r="216">
      <c r="B216" s="105"/>
    </row>
    <row r="217">
      <c r="B217" s="105"/>
    </row>
    <row r="218">
      <c r="B218" s="105"/>
    </row>
    <row r="219">
      <c r="B219" s="105"/>
    </row>
    <row r="220">
      <c r="B220" s="105"/>
    </row>
    <row r="221">
      <c r="B221" s="105"/>
    </row>
    <row r="222">
      <c r="B222" s="105"/>
    </row>
    <row r="223">
      <c r="B223" s="105"/>
    </row>
    <row r="224">
      <c r="B224" s="105"/>
    </row>
    <row r="225">
      <c r="B225" s="105"/>
    </row>
    <row r="226">
      <c r="B226" s="105"/>
    </row>
    <row r="227">
      <c r="B227" s="105"/>
    </row>
    <row r="228">
      <c r="B228" s="105"/>
    </row>
    <row r="229">
      <c r="B229" s="105"/>
    </row>
    <row r="230">
      <c r="B230" s="105"/>
    </row>
    <row r="231">
      <c r="B231" s="105"/>
    </row>
    <row r="232">
      <c r="B232" s="105"/>
    </row>
    <row r="233">
      <c r="B233" s="105"/>
    </row>
    <row r="234">
      <c r="B234" s="105"/>
    </row>
    <row r="235">
      <c r="B235" s="105"/>
    </row>
    <row r="236">
      <c r="B236" s="105"/>
    </row>
    <row r="237">
      <c r="B237" s="105"/>
    </row>
    <row r="238">
      <c r="B238" s="105"/>
    </row>
    <row r="239">
      <c r="B239" s="105"/>
    </row>
    <row r="240">
      <c r="B240" s="105"/>
    </row>
    <row r="241">
      <c r="B241" s="105"/>
    </row>
    <row r="242">
      <c r="B242" s="105"/>
    </row>
    <row r="243">
      <c r="B243" s="105"/>
    </row>
    <row r="244">
      <c r="B244" s="105"/>
    </row>
    <row r="245">
      <c r="B245" s="105"/>
    </row>
    <row r="246">
      <c r="B246" s="105"/>
    </row>
    <row r="247">
      <c r="B247" s="105"/>
    </row>
    <row r="248">
      <c r="B248" s="105"/>
    </row>
    <row r="249">
      <c r="B249" s="105"/>
    </row>
    <row r="250">
      <c r="B250" s="105"/>
    </row>
    <row r="251">
      <c r="B251" s="105"/>
    </row>
    <row r="252">
      <c r="B252" s="105"/>
    </row>
    <row r="253">
      <c r="B253" s="105"/>
    </row>
    <row r="254">
      <c r="B254" s="105"/>
    </row>
    <row r="255">
      <c r="B255" s="105"/>
    </row>
    <row r="256">
      <c r="B256" s="105"/>
    </row>
    <row r="257">
      <c r="B257" s="105"/>
    </row>
    <row r="258">
      <c r="B258" s="105"/>
    </row>
    <row r="259">
      <c r="B259" s="105"/>
    </row>
    <row r="260">
      <c r="B260" s="105"/>
    </row>
    <row r="261">
      <c r="B261" s="105"/>
    </row>
    <row r="262">
      <c r="B262" s="105"/>
    </row>
    <row r="263">
      <c r="B263" s="105"/>
    </row>
    <row r="264">
      <c r="B264" s="105"/>
    </row>
    <row r="265">
      <c r="B265" s="105"/>
    </row>
    <row r="266">
      <c r="B266" s="105"/>
    </row>
    <row r="267">
      <c r="B267" s="105"/>
    </row>
    <row r="268">
      <c r="B268" s="105"/>
    </row>
    <row r="269">
      <c r="B269" s="105"/>
    </row>
    <row r="270">
      <c r="B270" s="105"/>
    </row>
    <row r="271">
      <c r="B271" s="105"/>
    </row>
    <row r="272">
      <c r="B272" s="105"/>
    </row>
    <row r="273">
      <c r="B273" s="105"/>
    </row>
    <row r="274">
      <c r="B274" s="105"/>
    </row>
    <row r="275">
      <c r="B275" s="105"/>
    </row>
    <row r="276">
      <c r="B276" s="105"/>
    </row>
    <row r="277">
      <c r="B277" s="105"/>
    </row>
    <row r="278">
      <c r="B278" s="105"/>
    </row>
    <row r="279">
      <c r="B279" s="105"/>
    </row>
    <row r="280">
      <c r="B280" s="105"/>
    </row>
    <row r="281">
      <c r="B281" s="105"/>
    </row>
    <row r="282">
      <c r="B282" s="105"/>
    </row>
    <row r="283">
      <c r="B283" s="105"/>
    </row>
    <row r="284">
      <c r="B284" s="105"/>
    </row>
    <row r="285">
      <c r="B285" s="105"/>
    </row>
    <row r="286">
      <c r="B286" s="105"/>
    </row>
    <row r="287">
      <c r="B287" s="105"/>
    </row>
    <row r="288">
      <c r="B288" s="105"/>
    </row>
    <row r="289">
      <c r="B289" s="105"/>
    </row>
    <row r="290">
      <c r="B290" s="105"/>
    </row>
    <row r="291">
      <c r="B291" s="105"/>
    </row>
    <row r="292">
      <c r="B292" s="105"/>
    </row>
    <row r="293">
      <c r="B293" s="105"/>
    </row>
    <row r="294">
      <c r="B294" s="105"/>
    </row>
    <row r="295">
      <c r="B295" s="105"/>
    </row>
    <row r="296">
      <c r="B296" s="105"/>
    </row>
    <row r="297">
      <c r="B297" s="105"/>
    </row>
    <row r="298">
      <c r="B298" s="105"/>
    </row>
    <row r="299">
      <c r="B299" s="105"/>
    </row>
    <row r="300">
      <c r="B300" s="105"/>
    </row>
    <row r="301">
      <c r="B301" s="105"/>
    </row>
    <row r="302">
      <c r="B302" s="105"/>
    </row>
    <row r="303">
      <c r="B303" s="105"/>
    </row>
    <row r="304">
      <c r="B304" s="105"/>
    </row>
    <row r="305">
      <c r="B305" s="105"/>
    </row>
    <row r="306">
      <c r="B306" s="105"/>
    </row>
    <row r="307">
      <c r="B307" s="105"/>
    </row>
    <row r="308">
      <c r="B308" s="105"/>
    </row>
    <row r="309">
      <c r="B309" s="105"/>
    </row>
    <row r="310">
      <c r="B310" s="105"/>
    </row>
    <row r="311">
      <c r="B311" s="105"/>
    </row>
    <row r="312">
      <c r="B312" s="105"/>
    </row>
    <row r="313">
      <c r="B313" s="105"/>
    </row>
    <row r="314">
      <c r="B314" s="105"/>
    </row>
    <row r="315">
      <c r="B315" s="105"/>
    </row>
    <row r="316">
      <c r="B316" s="105"/>
    </row>
    <row r="317">
      <c r="B317" s="105"/>
    </row>
    <row r="318">
      <c r="B318" s="105"/>
    </row>
    <row r="319">
      <c r="B319" s="105"/>
    </row>
    <row r="320">
      <c r="B320" s="105"/>
    </row>
    <row r="321">
      <c r="B321" s="105"/>
    </row>
    <row r="322">
      <c r="B322" s="105"/>
    </row>
    <row r="323">
      <c r="B323" s="105"/>
    </row>
    <row r="324">
      <c r="B324" s="105"/>
    </row>
    <row r="325">
      <c r="B325" s="105"/>
    </row>
    <row r="326">
      <c r="B326" s="105"/>
    </row>
    <row r="327">
      <c r="B327" s="105"/>
    </row>
    <row r="328">
      <c r="B328" s="105"/>
    </row>
    <row r="329">
      <c r="B329" s="105"/>
    </row>
    <row r="330">
      <c r="B330" s="105"/>
    </row>
    <row r="331">
      <c r="B331" s="105"/>
    </row>
    <row r="332">
      <c r="B332" s="105"/>
    </row>
    <row r="333">
      <c r="B333" s="105"/>
    </row>
    <row r="334">
      <c r="B334" s="105"/>
    </row>
    <row r="335">
      <c r="B335" s="105"/>
    </row>
    <row r="336">
      <c r="B336" s="105"/>
    </row>
    <row r="337">
      <c r="B337" s="105"/>
    </row>
    <row r="338">
      <c r="B338" s="105"/>
    </row>
    <row r="339">
      <c r="B339" s="105"/>
    </row>
    <row r="340">
      <c r="B340" s="105"/>
    </row>
    <row r="341">
      <c r="B341" s="105"/>
    </row>
    <row r="342">
      <c r="B342" s="105"/>
    </row>
    <row r="343">
      <c r="B343" s="105"/>
    </row>
    <row r="344">
      <c r="B344" s="105"/>
    </row>
    <row r="345">
      <c r="B345" s="105"/>
    </row>
    <row r="346">
      <c r="B346" s="105"/>
    </row>
    <row r="347">
      <c r="B347" s="105"/>
    </row>
    <row r="348">
      <c r="B348" s="105"/>
    </row>
    <row r="349">
      <c r="B349" s="105"/>
    </row>
    <row r="350">
      <c r="B350" s="105"/>
    </row>
    <row r="351">
      <c r="B351" s="105"/>
    </row>
    <row r="352">
      <c r="B352" s="105"/>
    </row>
    <row r="353">
      <c r="B353" s="105"/>
    </row>
    <row r="354">
      <c r="B354" s="105"/>
    </row>
    <row r="355">
      <c r="B355" s="105"/>
    </row>
    <row r="356">
      <c r="B356" s="105"/>
    </row>
    <row r="357">
      <c r="B357" s="105"/>
    </row>
    <row r="358">
      <c r="B358" s="105"/>
    </row>
    <row r="359">
      <c r="B359" s="105"/>
    </row>
    <row r="360">
      <c r="B360" s="105"/>
    </row>
    <row r="361">
      <c r="B361" s="105"/>
    </row>
    <row r="362">
      <c r="B362" s="105"/>
    </row>
    <row r="363">
      <c r="B363" s="105"/>
    </row>
    <row r="364">
      <c r="B364" s="105"/>
    </row>
    <row r="365">
      <c r="B365" s="105"/>
    </row>
    <row r="366">
      <c r="B366" s="105"/>
    </row>
    <row r="367">
      <c r="B367" s="105"/>
    </row>
    <row r="368">
      <c r="B368" s="105"/>
    </row>
    <row r="369">
      <c r="B369" s="105"/>
    </row>
    <row r="370">
      <c r="B370" s="105"/>
    </row>
    <row r="371">
      <c r="B371" s="105"/>
    </row>
    <row r="372">
      <c r="B372" s="105"/>
    </row>
    <row r="373">
      <c r="B373" s="105"/>
    </row>
    <row r="374">
      <c r="B374" s="105"/>
    </row>
    <row r="375">
      <c r="B375" s="105"/>
    </row>
    <row r="376">
      <c r="B376" s="105"/>
    </row>
    <row r="377">
      <c r="B377" s="105"/>
    </row>
    <row r="378">
      <c r="B378" s="105"/>
    </row>
    <row r="379">
      <c r="B379" s="105"/>
    </row>
    <row r="380">
      <c r="B380" s="105"/>
    </row>
    <row r="381">
      <c r="B381" s="105"/>
    </row>
    <row r="382">
      <c r="B382" s="105"/>
    </row>
    <row r="383">
      <c r="B383" s="105"/>
    </row>
    <row r="384">
      <c r="B384" s="105"/>
    </row>
    <row r="385">
      <c r="B385" s="105"/>
    </row>
    <row r="386">
      <c r="B386" s="105"/>
    </row>
    <row r="387">
      <c r="B387" s="105"/>
    </row>
    <row r="388">
      <c r="B388" s="105"/>
    </row>
    <row r="389">
      <c r="B389" s="105"/>
    </row>
    <row r="390">
      <c r="B390" s="105"/>
    </row>
    <row r="391">
      <c r="B391" s="105"/>
    </row>
    <row r="392">
      <c r="B392" s="105"/>
    </row>
    <row r="393">
      <c r="B393" s="105"/>
    </row>
    <row r="394">
      <c r="B394" s="105"/>
    </row>
    <row r="395">
      <c r="B395" s="105"/>
    </row>
    <row r="396">
      <c r="B396" s="105"/>
    </row>
    <row r="397">
      <c r="B397" s="105"/>
    </row>
    <row r="398">
      <c r="B398" s="105"/>
    </row>
    <row r="399">
      <c r="B399" s="105"/>
    </row>
    <row r="400">
      <c r="B400" s="105"/>
    </row>
    <row r="401">
      <c r="B401" s="105"/>
    </row>
    <row r="402">
      <c r="B402" s="105"/>
    </row>
    <row r="403">
      <c r="B403" s="105"/>
    </row>
    <row r="404">
      <c r="B404" s="105"/>
    </row>
    <row r="405">
      <c r="B405" s="105"/>
    </row>
    <row r="406">
      <c r="B406" s="105"/>
    </row>
    <row r="407">
      <c r="B407" s="105"/>
    </row>
    <row r="408">
      <c r="B408" s="105"/>
    </row>
    <row r="409">
      <c r="B409" s="105"/>
    </row>
    <row r="410">
      <c r="B410" s="105"/>
    </row>
    <row r="411">
      <c r="B411" s="105"/>
    </row>
    <row r="412">
      <c r="B412" s="105"/>
    </row>
    <row r="413">
      <c r="B413" s="105"/>
    </row>
    <row r="414">
      <c r="B414" s="105"/>
    </row>
    <row r="415">
      <c r="B415" s="105"/>
    </row>
    <row r="416">
      <c r="B416" s="105"/>
    </row>
    <row r="417">
      <c r="B417" s="105"/>
    </row>
    <row r="418">
      <c r="B418" s="105"/>
    </row>
    <row r="419">
      <c r="B419" s="105"/>
    </row>
    <row r="420">
      <c r="B420" s="105"/>
    </row>
    <row r="421">
      <c r="B421" s="105"/>
    </row>
    <row r="422">
      <c r="B422" s="105"/>
    </row>
    <row r="423">
      <c r="B423" s="105"/>
    </row>
    <row r="424">
      <c r="B424" s="105"/>
    </row>
    <row r="425">
      <c r="B425" s="105"/>
    </row>
    <row r="426">
      <c r="B426" s="105"/>
    </row>
    <row r="427">
      <c r="B427" s="105"/>
    </row>
    <row r="428">
      <c r="B428" s="105"/>
    </row>
    <row r="429">
      <c r="B429" s="105"/>
    </row>
    <row r="430">
      <c r="B430" s="105"/>
    </row>
    <row r="431">
      <c r="B431" s="105"/>
    </row>
    <row r="432">
      <c r="B432" s="105"/>
    </row>
    <row r="433">
      <c r="B433" s="105"/>
    </row>
    <row r="434">
      <c r="B434" s="105"/>
    </row>
    <row r="435">
      <c r="B435" s="105"/>
    </row>
    <row r="436">
      <c r="B436" s="105"/>
    </row>
    <row r="437">
      <c r="B437" s="105"/>
    </row>
    <row r="438">
      <c r="B438" s="105"/>
    </row>
    <row r="439">
      <c r="B439" s="105"/>
    </row>
    <row r="440">
      <c r="B440" s="105"/>
    </row>
    <row r="441">
      <c r="B441" s="105"/>
    </row>
    <row r="442">
      <c r="B442" s="105"/>
    </row>
    <row r="443">
      <c r="B443" s="105"/>
    </row>
    <row r="444">
      <c r="B444" s="105"/>
    </row>
    <row r="445">
      <c r="B445" s="105"/>
    </row>
    <row r="446">
      <c r="B446" s="105"/>
    </row>
    <row r="447">
      <c r="B447" s="105"/>
    </row>
    <row r="448">
      <c r="B448" s="105"/>
    </row>
    <row r="449">
      <c r="B449" s="105"/>
    </row>
    <row r="450">
      <c r="B450" s="105"/>
    </row>
    <row r="451">
      <c r="B451" s="105"/>
    </row>
    <row r="452">
      <c r="B452" s="105"/>
    </row>
    <row r="453">
      <c r="B453" s="105"/>
    </row>
    <row r="454">
      <c r="B454" s="105"/>
    </row>
    <row r="455">
      <c r="B455" s="105"/>
    </row>
    <row r="456">
      <c r="B456" s="105"/>
    </row>
    <row r="457">
      <c r="B457" s="105"/>
    </row>
    <row r="458">
      <c r="B458" s="105"/>
    </row>
    <row r="459">
      <c r="B459" s="105"/>
    </row>
    <row r="460">
      <c r="B460" s="105"/>
    </row>
    <row r="461">
      <c r="B461" s="105"/>
    </row>
    <row r="462">
      <c r="B462" s="105"/>
    </row>
    <row r="463">
      <c r="B463" s="105"/>
    </row>
    <row r="464">
      <c r="B464" s="105"/>
    </row>
    <row r="465">
      <c r="B465" s="105"/>
    </row>
    <row r="466">
      <c r="B466" s="105"/>
    </row>
    <row r="467">
      <c r="B467" s="105"/>
    </row>
    <row r="468">
      <c r="B468" s="105"/>
    </row>
    <row r="469">
      <c r="B469" s="105"/>
    </row>
    <row r="470">
      <c r="B470" s="105"/>
    </row>
    <row r="471">
      <c r="B471" s="105"/>
    </row>
    <row r="472">
      <c r="B472" s="105"/>
    </row>
    <row r="473">
      <c r="B473" s="105"/>
    </row>
    <row r="474">
      <c r="B474" s="105"/>
    </row>
    <row r="475">
      <c r="B475" s="105"/>
    </row>
    <row r="476">
      <c r="B476" s="105"/>
    </row>
    <row r="477">
      <c r="B477" s="105"/>
    </row>
    <row r="478">
      <c r="B478" s="105"/>
    </row>
    <row r="479">
      <c r="B479" s="105"/>
    </row>
    <row r="480">
      <c r="B480" s="105"/>
    </row>
    <row r="481">
      <c r="B481" s="105"/>
    </row>
    <row r="482">
      <c r="B482" s="105"/>
    </row>
    <row r="483">
      <c r="B483" s="105"/>
    </row>
    <row r="484">
      <c r="B484" s="105"/>
    </row>
    <row r="485">
      <c r="B485" s="105"/>
    </row>
    <row r="486">
      <c r="B486" s="105"/>
    </row>
    <row r="487">
      <c r="B487" s="105"/>
    </row>
    <row r="488">
      <c r="B488" s="105"/>
    </row>
    <row r="489">
      <c r="B489" s="105"/>
    </row>
    <row r="490">
      <c r="B490" s="105"/>
    </row>
    <row r="491">
      <c r="B491" s="105"/>
    </row>
    <row r="492">
      <c r="B492" s="105"/>
    </row>
    <row r="493">
      <c r="B493" s="105"/>
    </row>
    <row r="494">
      <c r="B494" s="105"/>
    </row>
    <row r="495">
      <c r="B495" s="105"/>
    </row>
    <row r="496">
      <c r="B496" s="105"/>
    </row>
    <row r="497">
      <c r="B497" s="105"/>
    </row>
    <row r="498">
      <c r="B498" s="105"/>
    </row>
    <row r="499">
      <c r="B499" s="105"/>
    </row>
    <row r="500">
      <c r="B500" s="105"/>
    </row>
    <row r="501">
      <c r="B501" s="105"/>
    </row>
    <row r="502">
      <c r="B502" s="105"/>
    </row>
    <row r="503">
      <c r="B503" s="105"/>
    </row>
    <row r="504">
      <c r="B504" s="105"/>
    </row>
    <row r="505">
      <c r="B505" s="105"/>
    </row>
    <row r="506">
      <c r="B506" s="105"/>
    </row>
    <row r="507">
      <c r="B507" s="105"/>
    </row>
    <row r="508">
      <c r="B508" s="105"/>
    </row>
    <row r="509">
      <c r="B509" s="105"/>
    </row>
    <row r="510">
      <c r="B510" s="105"/>
    </row>
    <row r="511">
      <c r="B511" s="105"/>
    </row>
    <row r="512">
      <c r="B512" s="105"/>
    </row>
    <row r="513">
      <c r="B513" s="105"/>
    </row>
    <row r="514">
      <c r="B514" s="105"/>
    </row>
    <row r="515">
      <c r="B515" s="105"/>
    </row>
    <row r="516">
      <c r="B516" s="105"/>
    </row>
    <row r="517">
      <c r="B517" s="105"/>
    </row>
    <row r="518">
      <c r="B518" s="105"/>
    </row>
    <row r="519">
      <c r="B519" s="105"/>
    </row>
    <row r="520">
      <c r="B520" s="105"/>
    </row>
    <row r="521">
      <c r="B521" s="105"/>
    </row>
    <row r="522">
      <c r="B522" s="105"/>
    </row>
    <row r="523">
      <c r="B523" s="105"/>
    </row>
    <row r="524">
      <c r="B524" s="105"/>
    </row>
    <row r="525">
      <c r="B525" s="105"/>
    </row>
    <row r="526">
      <c r="B526" s="105"/>
    </row>
    <row r="527">
      <c r="B527" s="105"/>
    </row>
    <row r="528">
      <c r="B528" s="105"/>
    </row>
    <row r="529">
      <c r="B529" s="105"/>
    </row>
    <row r="530">
      <c r="B530" s="105"/>
    </row>
    <row r="531">
      <c r="B531" s="105"/>
    </row>
    <row r="532">
      <c r="B532" s="105"/>
    </row>
    <row r="533">
      <c r="B533" s="105"/>
    </row>
    <row r="534">
      <c r="B534" s="105"/>
    </row>
    <row r="535">
      <c r="B535" s="105"/>
    </row>
    <row r="536">
      <c r="B536" s="105"/>
    </row>
    <row r="537">
      <c r="B537" s="105"/>
    </row>
    <row r="538">
      <c r="B538" s="105"/>
    </row>
    <row r="539">
      <c r="B539" s="105"/>
    </row>
    <row r="540">
      <c r="B540" s="105"/>
    </row>
    <row r="541">
      <c r="B541" s="105"/>
    </row>
    <row r="542">
      <c r="B542" s="105"/>
    </row>
    <row r="543">
      <c r="B543" s="105"/>
    </row>
    <row r="544">
      <c r="B544" s="105"/>
    </row>
    <row r="545">
      <c r="B545" s="105"/>
    </row>
    <row r="546">
      <c r="B546" s="105"/>
    </row>
    <row r="547">
      <c r="B547" s="105"/>
    </row>
    <row r="548">
      <c r="B548" s="105"/>
    </row>
    <row r="549">
      <c r="B549" s="105"/>
    </row>
    <row r="550">
      <c r="B550" s="105"/>
    </row>
    <row r="551">
      <c r="B551" s="105"/>
    </row>
    <row r="552">
      <c r="B552" s="105"/>
    </row>
    <row r="553">
      <c r="B553" s="105"/>
    </row>
    <row r="554">
      <c r="B554" s="105"/>
    </row>
    <row r="555">
      <c r="B555" s="105"/>
    </row>
    <row r="556">
      <c r="B556" s="105"/>
    </row>
    <row r="557">
      <c r="B557" s="105"/>
    </row>
    <row r="558">
      <c r="B558" s="105"/>
    </row>
    <row r="559">
      <c r="B559" s="105"/>
    </row>
    <row r="560">
      <c r="B560" s="105"/>
    </row>
    <row r="561">
      <c r="B561" s="105"/>
    </row>
    <row r="562">
      <c r="B562" s="105"/>
    </row>
    <row r="563">
      <c r="B563" s="105"/>
    </row>
    <row r="564">
      <c r="B564" s="105"/>
    </row>
    <row r="565">
      <c r="B565" s="105"/>
    </row>
    <row r="566">
      <c r="B566" s="105"/>
    </row>
    <row r="567">
      <c r="B567" s="105"/>
    </row>
    <row r="568">
      <c r="B568" s="105"/>
    </row>
    <row r="569">
      <c r="B569" s="105"/>
    </row>
    <row r="570">
      <c r="B570" s="105"/>
    </row>
    <row r="571">
      <c r="B571" s="105"/>
    </row>
    <row r="572">
      <c r="B572" s="105"/>
    </row>
    <row r="573">
      <c r="B573" s="105"/>
    </row>
    <row r="574">
      <c r="B574" s="105"/>
    </row>
    <row r="575">
      <c r="B575" s="105"/>
    </row>
    <row r="576">
      <c r="B576" s="105"/>
    </row>
    <row r="577">
      <c r="B577" s="105"/>
    </row>
    <row r="578">
      <c r="B578" s="105"/>
    </row>
    <row r="579">
      <c r="B579" s="105"/>
    </row>
    <row r="580">
      <c r="B580" s="105"/>
    </row>
    <row r="581">
      <c r="B581" s="105"/>
    </row>
    <row r="582">
      <c r="B582" s="105"/>
    </row>
    <row r="583">
      <c r="B583" s="105"/>
    </row>
    <row r="584">
      <c r="B584" s="105"/>
    </row>
    <row r="585">
      <c r="B585" s="105"/>
    </row>
    <row r="586">
      <c r="B586" s="105"/>
    </row>
    <row r="587">
      <c r="B587" s="105"/>
    </row>
    <row r="588">
      <c r="B588" s="105"/>
    </row>
    <row r="589">
      <c r="B589" s="105"/>
    </row>
    <row r="590">
      <c r="B590" s="105"/>
    </row>
    <row r="591">
      <c r="B591" s="105"/>
    </row>
    <row r="592">
      <c r="B592" s="105"/>
    </row>
    <row r="593">
      <c r="B593" s="105"/>
    </row>
    <row r="594">
      <c r="B594" s="105"/>
    </row>
    <row r="595">
      <c r="B595" s="105"/>
    </row>
    <row r="596">
      <c r="B596" s="105"/>
    </row>
    <row r="597">
      <c r="B597" s="105"/>
    </row>
    <row r="598">
      <c r="B598" s="105"/>
    </row>
    <row r="599">
      <c r="B599" s="105"/>
    </row>
    <row r="600">
      <c r="B600" s="105"/>
    </row>
    <row r="601">
      <c r="B601" s="105"/>
    </row>
    <row r="602">
      <c r="B602" s="105"/>
    </row>
    <row r="603">
      <c r="B603" s="105"/>
    </row>
    <row r="604">
      <c r="B604" s="105"/>
    </row>
    <row r="605">
      <c r="B605" s="105"/>
    </row>
    <row r="606">
      <c r="B606" s="105"/>
    </row>
    <row r="607">
      <c r="B607" s="105"/>
    </row>
    <row r="608">
      <c r="B608" s="105"/>
    </row>
    <row r="609">
      <c r="B609" s="105"/>
    </row>
    <row r="610">
      <c r="B610" s="105"/>
    </row>
    <row r="611">
      <c r="B611" s="105"/>
    </row>
    <row r="612">
      <c r="B612" s="105"/>
    </row>
    <row r="613">
      <c r="B613" s="105"/>
    </row>
    <row r="614">
      <c r="B614" s="105"/>
    </row>
    <row r="615">
      <c r="B615" s="105"/>
    </row>
    <row r="616">
      <c r="B616" s="105"/>
    </row>
    <row r="617">
      <c r="B617" s="105"/>
    </row>
    <row r="618">
      <c r="B618" s="105"/>
    </row>
    <row r="619">
      <c r="B619" s="105"/>
    </row>
    <row r="620">
      <c r="B620" s="105"/>
    </row>
    <row r="621">
      <c r="B621" s="105"/>
    </row>
    <row r="622">
      <c r="B622" s="105"/>
    </row>
    <row r="623">
      <c r="B623" s="105"/>
    </row>
    <row r="624">
      <c r="B624" s="105"/>
    </row>
    <row r="625">
      <c r="B625" s="105"/>
    </row>
    <row r="626">
      <c r="B626" s="105"/>
    </row>
    <row r="627">
      <c r="B627" s="105"/>
    </row>
    <row r="628">
      <c r="B628" s="105"/>
    </row>
    <row r="629">
      <c r="B629" s="105"/>
    </row>
    <row r="630">
      <c r="B630" s="105"/>
    </row>
    <row r="631">
      <c r="B631" s="105"/>
    </row>
    <row r="632">
      <c r="B632" s="105"/>
    </row>
    <row r="633">
      <c r="B633" s="105"/>
    </row>
    <row r="634">
      <c r="B634" s="105"/>
    </row>
    <row r="635">
      <c r="B635" s="105"/>
    </row>
    <row r="636">
      <c r="B636" s="105"/>
    </row>
    <row r="637">
      <c r="B637" s="105"/>
    </row>
    <row r="638">
      <c r="B638" s="105"/>
    </row>
    <row r="639">
      <c r="B639" s="105"/>
    </row>
    <row r="640">
      <c r="B640" s="105"/>
    </row>
    <row r="641">
      <c r="B641" s="105"/>
    </row>
    <row r="642">
      <c r="B642" s="105"/>
    </row>
    <row r="643">
      <c r="B643" s="105"/>
    </row>
    <row r="644">
      <c r="B644" s="105"/>
    </row>
    <row r="645">
      <c r="B645" s="105"/>
    </row>
    <row r="646">
      <c r="B646" s="105"/>
    </row>
    <row r="647">
      <c r="B647" s="105"/>
    </row>
    <row r="648">
      <c r="B648" s="105"/>
    </row>
    <row r="649">
      <c r="B649" s="105"/>
    </row>
    <row r="650">
      <c r="B650" s="105"/>
    </row>
    <row r="651">
      <c r="B651" s="105"/>
    </row>
    <row r="652">
      <c r="B652" s="105"/>
    </row>
    <row r="653">
      <c r="B653" s="105"/>
    </row>
    <row r="654">
      <c r="B654" s="105"/>
    </row>
    <row r="655">
      <c r="B655" s="105"/>
    </row>
    <row r="656">
      <c r="B656" s="105"/>
    </row>
    <row r="657">
      <c r="B657" s="105"/>
    </row>
    <row r="658">
      <c r="B658" s="105"/>
    </row>
    <row r="659">
      <c r="B659" s="105"/>
    </row>
    <row r="660">
      <c r="B660" s="105"/>
    </row>
    <row r="661">
      <c r="B661" s="105"/>
    </row>
    <row r="662">
      <c r="B662" s="105"/>
    </row>
    <row r="663">
      <c r="B663" s="105"/>
    </row>
    <row r="664">
      <c r="B664" s="105"/>
    </row>
    <row r="665">
      <c r="B665" s="105"/>
    </row>
    <row r="666">
      <c r="B666" s="105"/>
    </row>
    <row r="667">
      <c r="B667" s="105"/>
    </row>
    <row r="668">
      <c r="B668" s="105"/>
    </row>
    <row r="669">
      <c r="B669" s="105"/>
    </row>
    <row r="670">
      <c r="B670" s="105"/>
    </row>
    <row r="671">
      <c r="B671" s="105"/>
    </row>
    <row r="672">
      <c r="B672" s="105"/>
    </row>
    <row r="673">
      <c r="B673" s="105"/>
    </row>
    <row r="674">
      <c r="B674" s="105"/>
    </row>
    <row r="675">
      <c r="B675" s="105"/>
    </row>
    <row r="676">
      <c r="B676" s="105"/>
    </row>
    <row r="677">
      <c r="B677" s="105"/>
    </row>
    <row r="678">
      <c r="B678" s="105"/>
    </row>
    <row r="679">
      <c r="B679" s="105"/>
    </row>
    <row r="680">
      <c r="B680" s="105"/>
    </row>
    <row r="681">
      <c r="B681" s="105"/>
    </row>
    <row r="682">
      <c r="B682" s="105"/>
    </row>
    <row r="683">
      <c r="B683" s="105"/>
    </row>
    <row r="684">
      <c r="B684" s="105"/>
    </row>
    <row r="685">
      <c r="B685" s="105"/>
    </row>
    <row r="686">
      <c r="B686" s="105"/>
    </row>
    <row r="687">
      <c r="B687" s="105"/>
    </row>
    <row r="688">
      <c r="B688" s="105"/>
    </row>
    <row r="689">
      <c r="B689" s="105"/>
    </row>
    <row r="690">
      <c r="B690" s="105"/>
    </row>
    <row r="691">
      <c r="B691" s="105"/>
    </row>
    <row r="692">
      <c r="B692" s="105"/>
    </row>
    <row r="693">
      <c r="B693" s="105"/>
    </row>
    <row r="694">
      <c r="B694" s="105"/>
    </row>
    <row r="695">
      <c r="B695" s="105"/>
    </row>
    <row r="696">
      <c r="B696" s="105"/>
    </row>
    <row r="697">
      <c r="B697" s="105"/>
    </row>
    <row r="698">
      <c r="B698" s="105"/>
    </row>
    <row r="699">
      <c r="B699" s="105"/>
    </row>
    <row r="700">
      <c r="B700" s="105"/>
    </row>
    <row r="701">
      <c r="B701" s="105"/>
    </row>
    <row r="702">
      <c r="B702" s="105"/>
    </row>
    <row r="703">
      <c r="B703" s="105"/>
    </row>
    <row r="704">
      <c r="B704" s="105"/>
    </row>
    <row r="705">
      <c r="B705" s="105"/>
    </row>
    <row r="706">
      <c r="B706" s="105"/>
    </row>
    <row r="707">
      <c r="B707" s="105"/>
    </row>
    <row r="708">
      <c r="B708" s="105"/>
    </row>
    <row r="709">
      <c r="B709" s="105"/>
    </row>
    <row r="710">
      <c r="B710" s="105"/>
    </row>
    <row r="711">
      <c r="B711" s="105"/>
    </row>
    <row r="712">
      <c r="B712" s="105"/>
    </row>
    <row r="713">
      <c r="B713" s="105"/>
    </row>
    <row r="714">
      <c r="B714" s="105"/>
    </row>
    <row r="715">
      <c r="B715" s="105"/>
    </row>
    <row r="716">
      <c r="B716" s="105"/>
    </row>
    <row r="717">
      <c r="B717" s="105"/>
    </row>
    <row r="718">
      <c r="B718" s="105"/>
    </row>
    <row r="719">
      <c r="B719" s="105"/>
    </row>
    <row r="720">
      <c r="B720" s="105"/>
    </row>
    <row r="721">
      <c r="B721" s="105"/>
    </row>
    <row r="722">
      <c r="B722" s="105"/>
    </row>
    <row r="723">
      <c r="B723" s="105"/>
    </row>
    <row r="724">
      <c r="B724" s="105"/>
    </row>
    <row r="725">
      <c r="B725" s="105"/>
    </row>
    <row r="726">
      <c r="B726" s="105"/>
    </row>
    <row r="727">
      <c r="B727" s="105"/>
    </row>
    <row r="728">
      <c r="B728" s="105"/>
    </row>
    <row r="729">
      <c r="B729" s="105"/>
    </row>
    <row r="730">
      <c r="B730" s="105"/>
    </row>
    <row r="731">
      <c r="B731" s="105"/>
    </row>
    <row r="732">
      <c r="B732" s="105"/>
    </row>
    <row r="733">
      <c r="B733" s="105"/>
    </row>
    <row r="734">
      <c r="B734" s="105"/>
    </row>
    <row r="735">
      <c r="B735" s="105"/>
    </row>
    <row r="736">
      <c r="B736" s="105"/>
    </row>
    <row r="737">
      <c r="B737" s="105"/>
    </row>
    <row r="738">
      <c r="B738" s="105"/>
    </row>
    <row r="739">
      <c r="B739" s="105"/>
    </row>
    <row r="740">
      <c r="B740" s="105"/>
    </row>
    <row r="741">
      <c r="B741" s="105"/>
    </row>
    <row r="742">
      <c r="B742" s="105"/>
    </row>
    <row r="743">
      <c r="B743" s="105"/>
    </row>
    <row r="744">
      <c r="B744" s="105"/>
    </row>
    <row r="745">
      <c r="B745" s="105"/>
    </row>
    <row r="746">
      <c r="B746" s="105"/>
    </row>
    <row r="747">
      <c r="B747" s="105"/>
    </row>
    <row r="748">
      <c r="B748" s="105"/>
    </row>
    <row r="749">
      <c r="B749" s="105"/>
    </row>
    <row r="750">
      <c r="B750" s="105"/>
    </row>
    <row r="751">
      <c r="B751" s="105"/>
    </row>
    <row r="752">
      <c r="B752" s="105"/>
    </row>
    <row r="753">
      <c r="B753" s="105"/>
    </row>
    <row r="754">
      <c r="B754" s="105"/>
    </row>
    <row r="755">
      <c r="B755" s="105"/>
    </row>
    <row r="756">
      <c r="B756" s="105"/>
    </row>
    <row r="757">
      <c r="B757" s="105"/>
    </row>
    <row r="758">
      <c r="B758" s="105"/>
    </row>
    <row r="759">
      <c r="B759" s="105"/>
    </row>
    <row r="760">
      <c r="B760" s="105"/>
    </row>
    <row r="761">
      <c r="B761" s="105"/>
    </row>
    <row r="762">
      <c r="B762" s="105"/>
    </row>
    <row r="763">
      <c r="B763" s="105"/>
    </row>
    <row r="764">
      <c r="B764" s="105"/>
    </row>
    <row r="765">
      <c r="B765" s="105"/>
    </row>
    <row r="766">
      <c r="B766" s="105"/>
    </row>
    <row r="767">
      <c r="B767" s="105"/>
    </row>
    <row r="768">
      <c r="B768" s="105"/>
    </row>
    <row r="769">
      <c r="B769" s="105"/>
    </row>
    <row r="770">
      <c r="B770" s="105"/>
    </row>
    <row r="771">
      <c r="B771" s="105"/>
    </row>
    <row r="772">
      <c r="B772" s="105"/>
    </row>
    <row r="773">
      <c r="B773" s="105"/>
    </row>
    <row r="774">
      <c r="B774" s="105"/>
    </row>
    <row r="775">
      <c r="B775" s="105"/>
    </row>
    <row r="776">
      <c r="B776" s="105"/>
    </row>
    <row r="777">
      <c r="B777" s="105"/>
    </row>
    <row r="778">
      <c r="B778" s="105"/>
    </row>
    <row r="779">
      <c r="B779" s="105"/>
    </row>
    <row r="780">
      <c r="B780" s="105"/>
    </row>
    <row r="781">
      <c r="B781" s="105"/>
    </row>
    <row r="782">
      <c r="B782" s="105"/>
    </row>
    <row r="783">
      <c r="B783" s="105"/>
    </row>
    <row r="784">
      <c r="B784" s="105"/>
    </row>
    <row r="785">
      <c r="B785" s="105"/>
    </row>
    <row r="786">
      <c r="B786" s="105"/>
    </row>
    <row r="787">
      <c r="B787" s="105"/>
    </row>
    <row r="788">
      <c r="B788" s="105"/>
    </row>
    <row r="789">
      <c r="B789" s="105"/>
    </row>
    <row r="790">
      <c r="B790" s="105"/>
    </row>
    <row r="791">
      <c r="B791" s="105"/>
    </row>
    <row r="792">
      <c r="B792" s="105"/>
    </row>
    <row r="793">
      <c r="B793" s="105"/>
    </row>
    <row r="794">
      <c r="B794" s="105"/>
    </row>
    <row r="795">
      <c r="B795" s="105"/>
    </row>
    <row r="796">
      <c r="B796" s="105"/>
    </row>
    <row r="797">
      <c r="B797" s="105"/>
    </row>
    <row r="798">
      <c r="B798" s="105"/>
    </row>
    <row r="799">
      <c r="B799" s="105"/>
    </row>
    <row r="800">
      <c r="B800" s="105"/>
    </row>
    <row r="801">
      <c r="B801" s="105"/>
    </row>
    <row r="802">
      <c r="B802" s="105"/>
    </row>
    <row r="803">
      <c r="B803" s="105"/>
    </row>
    <row r="804">
      <c r="B804" s="105"/>
    </row>
    <row r="805">
      <c r="B805" s="105"/>
    </row>
    <row r="806">
      <c r="B806" s="105"/>
    </row>
    <row r="807">
      <c r="B807" s="105"/>
    </row>
    <row r="808">
      <c r="B808" s="105"/>
    </row>
    <row r="809">
      <c r="B809" s="105"/>
    </row>
    <row r="810">
      <c r="B810" s="105"/>
    </row>
    <row r="811">
      <c r="B811" s="105"/>
    </row>
    <row r="812">
      <c r="B812" s="105"/>
    </row>
    <row r="813">
      <c r="B813" s="105"/>
    </row>
    <row r="814">
      <c r="B814" s="105"/>
    </row>
    <row r="815">
      <c r="B815" s="105"/>
    </row>
    <row r="816">
      <c r="B816" s="105"/>
    </row>
    <row r="817">
      <c r="B817" s="105"/>
    </row>
    <row r="818">
      <c r="B818" s="105"/>
    </row>
    <row r="819">
      <c r="B819" s="105"/>
    </row>
    <row r="820">
      <c r="B820" s="105"/>
    </row>
    <row r="821">
      <c r="B821" s="105"/>
    </row>
    <row r="822">
      <c r="B822" s="105"/>
    </row>
    <row r="823">
      <c r="B823" s="105"/>
    </row>
    <row r="824">
      <c r="B824" s="105"/>
    </row>
    <row r="825">
      <c r="B825" s="105"/>
    </row>
    <row r="826">
      <c r="B826" s="105"/>
    </row>
    <row r="827">
      <c r="B827" s="105"/>
    </row>
    <row r="828">
      <c r="B828" s="105"/>
    </row>
    <row r="829">
      <c r="B829" s="105"/>
    </row>
    <row r="830">
      <c r="B830" s="105"/>
    </row>
    <row r="831">
      <c r="B831" s="105"/>
    </row>
    <row r="832">
      <c r="B832" s="105"/>
    </row>
    <row r="833">
      <c r="B833" s="105"/>
    </row>
    <row r="834">
      <c r="B834" s="105"/>
    </row>
    <row r="835">
      <c r="B835" s="105"/>
    </row>
    <row r="836">
      <c r="B836" s="105"/>
    </row>
    <row r="837">
      <c r="B837" s="105"/>
    </row>
    <row r="838">
      <c r="B838" s="105"/>
    </row>
    <row r="839">
      <c r="B839" s="105"/>
    </row>
    <row r="840">
      <c r="B840" s="105"/>
    </row>
    <row r="841">
      <c r="B841" s="105"/>
    </row>
    <row r="842">
      <c r="B842" s="105"/>
    </row>
    <row r="843">
      <c r="B843" s="105"/>
    </row>
    <row r="844">
      <c r="B844" s="105"/>
    </row>
    <row r="845">
      <c r="B845" s="105"/>
    </row>
    <row r="846">
      <c r="B846" s="105"/>
    </row>
    <row r="847">
      <c r="B847" s="105"/>
    </row>
    <row r="848">
      <c r="B848" s="105"/>
    </row>
    <row r="849">
      <c r="B849" s="105"/>
    </row>
    <row r="850">
      <c r="B850" s="105"/>
    </row>
    <row r="851">
      <c r="B851" s="105"/>
    </row>
    <row r="852">
      <c r="B852" s="105"/>
    </row>
    <row r="853">
      <c r="B853" s="105"/>
    </row>
    <row r="854">
      <c r="B854" s="105"/>
    </row>
    <row r="855">
      <c r="B855" s="105"/>
    </row>
    <row r="856">
      <c r="B856" s="105"/>
    </row>
    <row r="857">
      <c r="B857" s="105"/>
    </row>
    <row r="858">
      <c r="B858" s="105"/>
    </row>
    <row r="859">
      <c r="B859" s="105"/>
    </row>
    <row r="860">
      <c r="B860" s="105"/>
    </row>
    <row r="861">
      <c r="B861" s="105"/>
    </row>
    <row r="862">
      <c r="B862" s="105"/>
    </row>
    <row r="863">
      <c r="B863" s="105"/>
    </row>
    <row r="864">
      <c r="B864" s="105"/>
    </row>
    <row r="865">
      <c r="B865" s="105"/>
    </row>
    <row r="866">
      <c r="B866" s="105"/>
    </row>
    <row r="867">
      <c r="B867" s="105"/>
    </row>
    <row r="868">
      <c r="B868" s="105"/>
    </row>
    <row r="869">
      <c r="B869" s="105"/>
    </row>
    <row r="870">
      <c r="B870" s="105"/>
    </row>
    <row r="871">
      <c r="B871" s="105"/>
    </row>
    <row r="872">
      <c r="B872" s="105"/>
    </row>
    <row r="873">
      <c r="B873" s="105"/>
    </row>
    <row r="874">
      <c r="B874" s="105"/>
    </row>
    <row r="875">
      <c r="B875" s="105"/>
    </row>
    <row r="876">
      <c r="B876" s="105"/>
    </row>
    <row r="877">
      <c r="B877" s="105"/>
    </row>
    <row r="878">
      <c r="B878" s="105"/>
    </row>
    <row r="879">
      <c r="B879" s="105"/>
    </row>
    <row r="880">
      <c r="B880" s="105"/>
    </row>
    <row r="881">
      <c r="B881" s="105"/>
    </row>
    <row r="882">
      <c r="B882" s="105"/>
    </row>
    <row r="883">
      <c r="B883" s="105"/>
    </row>
    <row r="884">
      <c r="B884" s="105"/>
    </row>
    <row r="885">
      <c r="B885" s="105"/>
    </row>
    <row r="886">
      <c r="B886" s="105"/>
    </row>
    <row r="887">
      <c r="B887" s="105"/>
    </row>
    <row r="888">
      <c r="B888" s="105"/>
    </row>
    <row r="889">
      <c r="B889" s="105"/>
    </row>
    <row r="890">
      <c r="B890" s="105"/>
    </row>
    <row r="891">
      <c r="B891" s="105"/>
    </row>
    <row r="892">
      <c r="B892" s="105"/>
    </row>
    <row r="893">
      <c r="B893" s="105"/>
    </row>
    <row r="894">
      <c r="B894" s="105"/>
    </row>
    <row r="895">
      <c r="B895" s="105"/>
    </row>
    <row r="896">
      <c r="B896" s="105"/>
    </row>
    <row r="897">
      <c r="B897" s="105"/>
    </row>
    <row r="898">
      <c r="B898" s="105"/>
    </row>
    <row r="899">
      <c r="B899" s="105"/>
    </row>
    <row r="900">
      <c r="B900" s="105"/>
    </row>
    <row r="901">
      <c r="B901" s="105"/>
    </row>
    <row r="902">
      <c r="B902" s="105"/>
    </row>
    <row r="903">
      <c r="B903" s="105"/>
    </row>
    <row r="904">
      <c r="B904" s="105"/>
    </row>
    <row r="905">
      <c r="B905" s="105"/>
    </row>
    <row r="906">
      <c r="B906" s="105"/>
    </row>
    <row r="907">
      <c r="B907" s="105"/>
    </row>
    <row r="908">
      <c r="B908" s="105"/>
    </row>
    <row r="909">
      <c r="B909" s="105"/>
    </row>
    <row r="910">
      <c r="B910" s="105"/>
    </row>
    <row r="911">
      <c r="B911" s="105"/>
    </row>
    <row r="912">
      <c r="B912" s="105"/>
    </row>
    <row r="913">
      <c r="B913" s="105"/>
    </row>
    <row r="914">
      <c r="B914" s="105"/>
    </row>
    <row r="915">
      <c r="B915" s="105"/>
    </row>
    <row r="916">
      <c r="B916" s="105"/>
    </row>
    <row r="917">
      <c r="B917" s="105"/>
    </row>
    <row r="918">
      <c r="B918" s="105"/>
    </row>
    <row r="919">
      <c r="B919" s="105"/>
    </row>
    <row r="920">
      <c r="B920" s="105"/>
    </row>
    <row r="921">
      <c r="B921" s="105"/>
    </row>
    <row r="922">
      <c r="B922" s="105"/>
    </row>
    <row r="923">
      <c r="B923" s="105"/>
    </row>
    <row r="924">
      <c r="B924" s="105"/>
    </row>
    <row r="925">
      <c r="B925" s="105"/>
    </row>
    <row r="926">
      <c r="B926" s="105"/>
    </row>
    <row r="927">
      <c r="B927" s="105"/>
    </row>
    <row r="928">
      <c r="B928" s="105"/>
    </row>
    <row r="929">
      <c r="B929" s="105"/>
    </row>
    <row r="930">
      <c r="B930" s="105"/>
    </row>
    <row r="931">
      <c r="B931" s="105"/>
    </row>
    <row r="932">
      <c r="B932" s="105"/>
    </row>
    <row r="933">
      <c r="B933" s="105"/>
    </row>
    <row r="934">
      <c r="B934" s="105"/>
    </row>
    <row r="935">
      <c r="B935" s="105"/>
    </row>
    <row r="936">
      <c r="B936" s="105"/>
    </row>
    <row r="937">
      <c r="B937" s="105"/>
    </row>
    <row r="938">
      <c r="B938" s="105"/>
    </row>
    <row r="939">
      <c r="B939" s="105"/>
    </row>
    <row r="940">
      <c r="B940" s="105"/>
    </row>
    <row r="941">
      <c r="B941" s="105"/>
    </row>
    <row r="942">
      <c r="B942" s="105"/>
    </row>
    <row r="943">
      <c r="B943" s="105"/>
    </row>
    <row r="944">
      <c r="B944" s="105"/>
    </row>
    <row r="945">
      <c r="B945" s="105"/>
    </row>
    <row r="946">
      <c r="B946" s="105"/>
    </row>
    <row r="947">
      <c r="B947" s="105"/>
    </row>
    <row r="948">
      <c r="B948" s="105"/>
    </row>
    <row r="949">
      <c r="B949" s="105"/>
    </row>
    <row r="950">
      <c r="B950" s="105"/>
    </row>
    <row r="951">
      <c r="B951" s="105"/>
    </row>
    <row r="952">
      <c r="B952" s="105"/>
    </row>
    <row r="953">
      <c r="B953" s="105"/>
    </row>
    <row r="954">
      <c r="B954" s="105"/>
    </row>
    <row r="955">
      <c r="B955" s="105"/>
    </row>
    <row r="956">
      <c r="B956" s="105"/>
    </row>
    <row r="957">
      <c r="B957" s="105"/>
    </row>
    <row r="958">
      <c r="B958" s="105"/>
    </row>
    <row r="959">
      <c r="B959" s="105"/>
    </row>
    <row r="960">
      <c r="B960" s="105"/>
    </row>
    <row r="961">
      <c r="B961" s="105"/>
    </row>
    <row r="962">
      <c r="B962" s="105"/>
    </row>
    <row r="963">
      <c r="B963" s="105"/>
    </row>
    <row r="964">
      <c r="B964" s="105"/>
    </row>
    <row r="965">
      <c r="B965" s="105"/>
    </row>
    <row r="966">
      <c r="B966" s="105"/>
    </row>
    <row r="967">
      <c r="B967" s="105"/>
    </row>
    <row r="968">
      <c r="B968" s="105"/>
    </row>
    <row r="969">
      <c r="B969" s="105"/>
    </row>
    <row r="970">
      <c r="B970" s="105"/>
    </row>
    <row r="971">
      <c r="B971" s="105"/>
    </row>
    <row r="972">
      <c r="B972" s="105"/>
    </row>
    <row r="973">
      <c r="B973" s="105"/>
    </row>
    <row r="974">
      <c r="B974" s="105"/>
    </row>
    <row r="975">
      <c r="B975" s="105"/>
    </row>
    <row r="976">
      <c r="B976" s="105"/>
    </row>
    <row r="977">
      <c r="B977" s="105"/>
    </row>
    <row r="978">
      <c r="B978" s="105"/>
    </row>
    <row r="979">
      <c r="B979" s="105"/>
    </row>
    <row r="980">
      <c r="B980" s="105"/>
    </row>
    <row r="981">
      <c r="B981" s="105"/>
    </row>
    <row r="982">
      <c r="B982" s="105"/>
    </row>
    <row r="983">
      <c r="B983" s="105"/>
    </row>
    <row r="984">
      <c r="B984" s="105"/>
    </row>
    <row r="985">
      <c r="B985" s="105"/>
    </row>
    <row r="986">
      <c r="B986" s="105"/>
    </row>
    <row r="987">
      <c r="B987" s="105"/>
    </row>
    <row r="988">
      <c r="B988" s="105"/>
    </row>
    <row r="989">
      <c r="B989" s="105"/>
    </row>
    <row r="990">
      <c r="B990" s="105"/>
    </row>
    <row r="991">
      <c r="B991" s="105"/>
    </row>
    <row r="992">
      <c r="B992" s="105"/>
    </row>
    <row r="993">
      <c r="B993" s="105"/>
    </row>
    <row r="994">
      <c r="B994" s="105"/>
    </row>
    <row r="995">
      <c r="B995" s="105"/>
    </row>
    <row r="996">
      <c r="B996" s="105"/>
    </row>
    <row r="997">
      <c r="B997" s="105"/>
    </row>
    <row r="998">
      <c r="B998" s="105"/>
    </row>
    <row r="999">
      <c r="B999" s="105"/>
    </row>
    <row r="1000">
      <c r="B1000" s="105"/>
    </row>
  </sheetData>
  <conditionalFormatting sqref="F7">
    <cfRule type="cellIs" dxfId="0" priority="1" operator="equal">
      <formula>"READY"</formula>
    </cfRule>
  </conditionalFormatting>
  <conditionalFormatting sqref="F7">
    <cfRule type="cellIs" dxfId="1" priority="2" operator="equal">
      <formula>"MISSING INFORMATION"</formula>
    </cfRule>
  </conditionalFormatting>
  <dataValidations>
    <dataValidation type="list" allowBlank="1" showErrorMessage="1" sqref="D4">
      <formula1>"NOT DONE,DONE"</formula1>
    </dataValidation>
    <dataValidation type="list" allowBlank="1" showErrorMessage="1" sqref="C4">
      <formula1>"HIGH,MEDIUM,LOW"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2.0"/>
    <col customWidth="1" min="2" max="2" width="19.75"/>
  </cols>
  <sheetData>
    <row r="1">
      <c r="A1" s="3" t="b">
        <v>0</v>
      </c>
      <c r="B1" s="94" t="s">
        <v>307</v>
      </c>
    </row>
    <row r="2" ht="24.0" customHeight="1">
      <c r="A2" s="107" t="str">
        <f t="array" ref="A2">IF(COUNTA(A4:A100)=0,"ADD A TASK BELOW",IF(COUNTIF(D4:D100,"NO DATE")&gt;0,"FIX THE RED ROW FIRST","DO NEXT → "&amp;INDEX(A4:A100,MATCH(MIN(B4:B100),B4:B100,0))))</f>
        <v>DO NEXT → Submit Seminar reflection</v>
      </c>
      <c r="B2" s="108"/>
      <c r="C2" s="107"/>
      <c r="D2" s="107"/>
      <c r="E2" s="107"/>
      <c r="F2" s="107"/>
      <c r="G2" s="107"/>
    </row>
    <row r="3">
      <c r="A3" s="3" t="s">
        <v>296</v>
      </c>
      <c r="B3" s="106" t="s">
        <v>308</v>
      </c>
      <c r="C3" s="3" t="s">
        <v>309</v>
      </c>
      <c r="D3" s="3" t="s">
        <v>11</v>
      </c>
    </row>
    <row r="4">
      <c r="A4" s="3" t="s">
        <v>310</v>
      </c>
      <c r="B4" s="106">
        <v>46261.0</v>
      </c>
      <c r="C4" s="36">
        <f t="shared" ref="C4:C11" si="1">IF($A4="","",IF(NOT(ISNUMBER($B4)),"ERR",$B4-TODAY()))</f>
        <v>-4</v>
      </c>
      <c r="D4" s="36" t="str">
        <f t="shared" ref="D4:D11" si="2">IF($A4="","",IF(NOT(ISNUMBER($B4)),"NO DATE",IF($B4&lt;TODAY(),"OVERDUE",IF($B4=TODAY(),"DUE TODAY","OK"))))</f>
        <v>OVERDUE</v>
      </c>
    </row>
    <row r="5">
      <c r="A5" s="3" t="s">
        <v>311</v>
      </c>
      <c r="B5" s="106">
        <v>46262.0</v>
      </c>
      <c r="C5" s="36">
        <f t="shared" si="1"/>
        <v>-3</v>
      </c>
      <c r="D5" s="36" t="str">
        <f t="shared" si="2"/>
        <v>OVERDUE</v>
      </c>
    </row>
    <row r="6">
      <c r="A6" s="3" t="s">
        <v>312</v>
      </c>
      <c r="B6" s="106">
        <v>46263.0</v>
      </c>
      <c r="C6" s="36">
        <f t="shared" si="1"/>
        <v>-2</v>
      </c>
      <c r="D6" s="36" t="str">
        <f t="shared" si="2"/>
        <v>OVERDUE</v>
      </c>
    </row>
    <row r="7">
      <c r="A7" s="3" t="s">
        <v>313</v>
      </c>
      <c r="B7" s="106">
        <v>46265.0</v>
      </c>
      <c r="C7" s="36">
        <f t="shared" si="1"/>
        <v>0</v>
      </c>
      <c r="D7" s="36" t="str">
        <f t="shared" si="2"/>
        <v>DUE TODAY</v>
      </c>
    </row>
    <row r="8">
      <c r="A8" s="3" t="s">
        <v>314</v>
      </c>
      <c r="B8" s="106">
        <v>46267.0</v>
      </c>
      <c r="C8" s="36">
        <f t="shared" si="1"/>
        <v>2</v>
      </c>
      <c r="D8" s="36" t="str">
        <f t="shared" si="2"/>
        <v>OK</v>
      </c>
    </row>
    <row r="9">
      <c r="A9" s="3" t="s">
        <v>315</v>
      </c>
      <c r="B9" s="106">
        <v>46269.0</v>
      </c>
      <c r="C9" s="36">
        <f t="shared" si="1"/>
        <v>4</v>
      </c>
      <c r="D9" s="36" t="str">
        <f t="shared" si="2"/>
        <v>OK</v>
      </c>
    </row>
    <row r="10">
      <c r="A10" s="3" t="s">
        <v>316</v>
      </c>
      <c r="B10" s="106">
        <v>46276.0</v>
      </c>
      <c r="C10" s="36">
        <f t="shared" si="1"/>
        <v>11</v>
      </c>
      <c r="D10" s="36" t="str">
        <f t="shared" si="2"/>
        <v>OK</v>
      </c>
    </row>
    <row r="11">
      <c r="A11" s="3" t="s">
        <v>317</v>
      </c>
      <c r="B11" s="106">
        <v>46283.0</v>
      </c>
      <c r="C11" s="36">
        <f t="shared" si="1"/>
        <v>18</v>
      </c>
      <c r="D11" s="36" t="str">
        <f t="shared" si="2"/>
        <v>OK</v>
      </c>
    </row>
    <row r="12">
      <c r="B12" s="105"/>
    </row>
    <row r="13">
      <c r="B13" s="105"/>
    </row>
    <row r="14">
      <c r="B14" s="105"/>
    </row>
    <row r="15">
      <c r="B15" s="105"/>
    </row>
    <row r="16">
      <c r="B16" s="105"/>
    </row>
    <row r="17">
      <c r="B17" s="105"/>
    </row>
    <row r="18">
      <c r="B18" s="105"/>
    </row>
    <row r="19">
      <c r="B19" s="105"/>
    </row>
    <row r="20">
      <c r="B20" s="105"/>
    </row>
    <row r="21">
      <c r="B21" s="105"/>
    </row>
    <row r="22">
      <c r="B22" s="105"/>
    </row>
    <row r="23">
      <c r="B23" s="105"/>
    </row>
    <row r="24">
      <c r="B24" s="105"/>
    </row>
    <row r="25">
      <c r="B25" s="105"/>
    </row>
    <row r="26">
      <c r="B26" s="105"/>
    </row>
    <row r="27">
      <c r="B27" s="105"/>
    </row>
    <row r="28">
      <c r="B28" s="105"/>
    </row>
    <row r="29">
      <c r="B29" s="105"/>
    </row>
    <row r="30">
      <c r="B30" s="105"/>
    </row>
    <row r="31">
      <c r="B31" s="105"/>
    </row>
    <row r="32">
      <c r="B32" s="105"/>
    </row>
    <row r="33">
      <c r="B33" s="105"/>
    </row>
    <row r="34">
      <c r="B34" s="105"/>
    </row>
    <row r="35">
      <c r="B35" s="105"/>
    </row>
    <row r="36">
      <c r="B36" s="105"/>
    </row>
    <row r="37">
      <c r="B37" s="105"/>
    </row>
    <row r="38">
      <c r="B38" s="105"/>
    </row>
    <row r="39">
      <c r="B39" s="105"/>
    </row>
    <row r="40">
      <c r="B40" s="105"/>
    </row>
    <row r="41">
      <c r="B41" s="105"/>
    </row>
    <row r="42">
      <c r="B42" s="105"/>
    </row>
    <row r="43">
      <c r="B43" s="105"/>
    </row>
    <row r="44">
      <c r="B44" s="105"/>
    </row>
    <row r="45">
      <c r="B45" s="105"/>
    </row>
    <row r="46">
      <c r="B46" s="105"/>
    </row>
    <row r="47">
      <c r="B47" s="105"/>
    </row>
    <row r="48">
      <c r="B48" s="105"/>
    </row>
    <row r="49">
      <c r="B49" s="105"/>
    </row>
    <row r="50">
      <c r="B50" s="105"/>
    </row>
    <row r="51">
      <c r="B51" s="105"/>
    </row>
    <row r="52">
      <c r="B52" s="105"/>
    </row>
    <row r="53">
      <c r="B53" s="105"/>
    </row>
    <row r="54">
      <c r="B54" s="105"/>
    </row>
    <row r="55">
      <c r="B55" s="105"/>
    </row>
    <row r="56">
      <c r="B56" s="105"/>
    </row>
    <row r="57">
      <c r="B57" s="105"/>
    </row>
    <row r="58">
      <c r="B58" s="105"/>
    </row>
    <row r="59">
      <c r="B59" s="105"/>
    </row>
    <row r="60">
      <c r="B60" s="105"/>
    </row>
    <row r="61">
      <c r="B61" s="105"/>
    </row>
    <row r="62">
      <c r="B62" s="105"/>
    </row>
    <row r="63">
      <c r="B63" s="105"/>
    </row>
    <row r="64">
      <c r="B64" s="105"/>
    </row>
    <row r="65">
      <c r="B65" s="105"/>
    </row>
    <row r="66">
      <c r="B66" s="105"/>
    </row>
    <row r="67">
      <c r="B67" s="105"/>
    </row>
    <row r="68">
      <c r="B68" s="105"/>
    </row>
    <row r="69">
      <c r="B69" s="105"/>
    </row>
    <row r="70">
      <c r="B70" s="105"/>
    </row>
    <row r="71">
      <c r="B71" s="105"/>
    </row>
    <row r="72">
      <c r="B72" s="105"/>
    </row>
    <row r="73">
      <c r="B73" s="105"/>
    </row>
    <row r="74">
      <c r="B74" s="105"/>
    </row>
    <row r="75">
      <c r="B75" s="105"/>
    </row>
    <row r="76">
      <c r="B76" s="105"/>
    </row>
    <row r="77">
      <c r="B77" s="105"/>
    </row>
    <row r="78">
      <c r="B78" s="105"/>
    </row>
    <row r="79">
      <c r="B79" s="105"/>
    </row>
    <row r="80">
      <c r="B80" s="105"/>
    </row>
    <row r="81">
      <c r="B81" s="105"/>
    </row>
    <row r="82">
      <c r="B82" s="105"/>
    </row>
    <row r="83">
      <c r="B83" s="105"/>
    </row>
    <row r="84">
      <c r="B84" s="105"/>
    </row>
    <row r="85">
      <c r="B85" s="105"/>
    </row>
    <row r="86">
      <c r="B86" s="105"/>
    </row>
    <row r="87">
      <c r="B87" s="105"/>
    </row>
    <row r="88">
      <c r="B88" s="105"/>
    </row>
    <row r="89">
      <c r="B89" s="105"/>
    </row>
    <row r="90">
      <c r="B90" s="105"/>
    </row>
    <row r="91">
      <c r="B91" s="105"/>
    </row>
    <row r="92">
      <c r="B92" s="105"/>
    </row>
    <row r="93">
      <c r="B93" s="105"/>
    </row>
    <row r="94">
      <c r="B94" s="105"/>
    </row>
    <row r="95">
      <c r="B95" s="105"/>
    </row>
    <row r="96">
      <c r="B96" s="105"/>
    </row>
    <row r="97">
      <c r="B97" s="105"/>
    </row>
    <row r="98">
      <c r="B98" s="105"/>
    </row>
    <row r="99">
      <c r="B99" s="105"/>
    </row>
    <row r="100">
      <c r="B100" s="105"/>
    </row>
    <row r="101">
      <c r="B101" s="105"/>
    </row>
    <row r="102">
      <c r="B102" s="105"/>
    </row>
    <row r="103">
      <c r="B103" s="105"/>
    </row>
    <row r="104">
      <c r="B104" s="105"/>
    </row>
    <row r="105">
      <c r="B105" s="105"/>
    </row>
    <row r="106">
      <c r="B106" s="105"/>
    </row>
    <row r="107">
      <c r="B107" s="105"/>
    </row>
    <row r="108">
      <c r="B108" s="105"/>
    </row>
    <row r="109">
      <c r="B109" s="105"/>
    </row>
    <row r="110">
      <c r="B110" s="105"/>
    </row>
    <row r="111">
      <c r="B111" s="105"/>
    </row>
    <row r="112">
      <c r="B112" s="105"/>
    </row>
    <row r="113">
      <c r="B113" s="105"/>
    </row>
    <row r="114">
      <c r="B114" s="105"/>
    </row>
    <row r="115">
      <c r="B115" s="105"/>
    </row>
    <row r="116">
      <c r="B116" s="105"/>
    </row>
    <row r="117">
      <c r="B117" s="105"/>
    </row>
    <row r="118">
      <c r="B118" s="105"/>
    </row>
    <row r="119">
      <c r="B119" s="105"/>
    </row>
    <row r="120">
      <c r="B120" s="105"/>
    </row>
    <row r="121">
      <c r="B121" s="105"/>
    </row>
    <row r="122">
      <c r="B122" s="105"/>
    </row>
    <row r="123">
      <c r="B123" s="105"/>
    </row>
    <row r="124">
      <c r="B124" s="105"/>
    </row>
    <row r="125">
      <c r="B125" s="105"/>
    </row>
    <row r="126">
      <c r="B126" s="105"/>
    </row>
    <row r="127">
      <c r="B127" s="105"/>
    </row>
    <row r="128">
      <c r="B128" s="105"/>
    </row>
    <row r="129">
      <c r="B129" s="105"/>
    </row>
    <row r="130">
      <c r="B130" s="105"/>
    </row>
    <row r="131">
      <c r="B131" s="105"/>
    </row>
    <row r="132">
      <c r="B132" s="105"/>
    </row>
    <row r="133">
      <c r="B133" s="105"/>
    </row>
    <row r="134">
      <c r="B134" s="105"/>
    </row>
    <row r="135">
      <c r="B135" s="105"/>
    </row>
    <row r="136">
      <c r="B136" s="105"/>
    </row>
    <row r="137">
      <c r="B137" s="105"/>
    </row>
    <row r="138">
      <c r="B138" s="105"/>
    </row>
    <row r="139">
      <c r="B139" s="105"/>
    </row>
    <row r="140">
      <c r="B140" s="105"/>
    </row>
    <row r="141">
      <c r="B141" s="105"/>
    </row>
    <row r="142">
      <c r="B142" s="105"/>
    </row>
    <row r="143">
      <c r="B143" s="105"/>
    </row>
    <row r="144">
      <c r="B144" s="105"/>
    </row>
    <row r="145">
      <c r="B145" s="105"/>
    </row>
    <row r="146">
      <c r="B146" s="105"/>
    </row>
    <row r="147">
      <c r="B147" s="105"/>
    </row>
    <row r="148">
      <c r="B148" s="105"/>
    </row>
    <row r="149">
      <c r="B149" s="105"/>
    </row>
    <row r="150">
      <c r="B150" s="105"/>
    </row>
    <row r="151">
      <c r="B151" s="105"/>
    </row>
    <row r="152">
      <c r="B152" s="105"/>
    </row>
    <row r="153">
      <c r="B153" s="105"/>
    </row>
    <row r="154">
      <c r="B154" s="105"/>
    </row>
    <row r="155">
      <c r="B155" s="105"/>
    </row>
    <row r="156">
      <c r="B156" s="105"/>
    </row>
    <row r="157">
      <c r="B157" s="105"/>
    </row>
    <row r="158">
      <c r="B158" s="105"/>
    </row>
    <row r="159">
      <c r="B159" s="105"/>
    </row>
    <row r="160">
      <c r="B160" s="105"/>
    </row>
    <row r="161">
      <c r="B161" s="105"/>
    </row>
    <row r="162">
      <c r="B162" s="105"/>
    </row>
    <row r="163">
      <c r="B163" s="105"/>
    </row>
    <row r="164">
      <c r="B164" s="105"/>
    </row>
    <row r="165">
      <c r="B165" s="105"/>
    </row>
    <row r="166">
      <c r="B166" s="105"/>
    </row>
    <row r="167">
      <c r="B167" s="105"/>
    </row>
    <row r="168">
      <c r="B168" s="105"/>
    </row>
    <row r="169">
      <c r="B169" s="105"/>
    </row>
    <row r="170">
      <c r="B170" s="105"/>
    </row>
    <row r="171">
      <c r="B171" s="105"/>
    </row>
    <row r="172">
      <c r="B172" s="105"/>
    </row>
    <row r="173">
      <c r="B173" s="105"/>
    </row>
    <row r="174">
      <c r="B174" s="105"/>
    </row>
    <row r="175">
      <c r="B175" s="105"/>
    </row>
    <row r="176">
      <c r="B176" s="105"/>
    </row>
    <row r="177">
      <c r="B177" s="105"/>
    </row>
    <row r="178">
      <c r="B178" s="105"/>
    </row>
    <row r="179">
      <c r="B179" s="105"/>
    </row>
    <row r="180">
      <c r="B180" s="105"/>
    </row>
    <row r="181">
      <c r="B181" s="105"/>
    </row>
    <row r="182">
      <c r="B182" s="105"/>
    </row>
    <row r="183">
      <c r="B183" s="105"/>
    </row>
    <row r="184">
      <c r="B184" s="105"/>
    </row>
    <row r="185">
      <c r="B185" s="105"/>
    </row>
    <row r="186">
      <c r="B186" s="105"/>
    </row>
    <row r="187">
      <c r="B187" s="105"/>
    </row>
    <row r="188">
      <c r="B188" s="105"/>
    </row>
    <row r="189">
      <c r="B189" s="105"/>
    </row>
    <row r="190">
      <c r="B190" s="105"/>
    </row>
    <row r="191">
      <c r="B191" s="105"/>
    </row>
    <row r="192">
      <c r="B192" s="105"/>
    </row>
    <row r="193">
      <c r="B193" s="105"/>
    </row>
    <row r="194">
      <c r="B194" s="105"/>
    </row>
    <row r="195">
      <c r="B195" s="105"/>
    </row>
    <row r="196">
      <c r="B196" s="105"/>
    </row>
    <row r="197">
      <c r="B197" s="105"/>
    </row>
    <row r="198">
      <c r="B198" s="105"/>
    </row>
    <row r="199">
      <c r="B199" s="105"/>
    </row>
    <row r="200">
      <c r="B200" s="105"/>
    </row>
    <row r="201">
      <c r="B201" s="105"/>
    </row>
    <row r="202">
      <c r="B202" s="105"/>
    </row>
    <row r="203">
      <c r="B203" s="105"/>
    </row>
    <row r="204">
      <c r="B204" s="105"/>
    </row>
    <row r="205">
      <c r="B205" s="105"/>
    </row>
    <row r="206">
      <c r="B206" s="105"/>
    </row>
    <row r="207">
      <c r="B207" s="105"/>
    </row>
    <row r="208">
      <c r="B208" s="105"/>
    </row>
    <row r="209">
      <c r="B209" s="105"/>
    </row>
    <row r="210">
      <c r="B210" s="105"/>
    </row>
    <row r="211">
      <c r="B211" s="105"/>
    </row>
    <row r="212">
      <c r="B212" s="105"/>
    </row>
    <row r="213">
      <c r="B213" s="105"/>
    </row>
    <row r="214">
      <c r="B214" s="105"/>
    </row>
    <row r="215">
      <c r="B215" s="105"/>
    </row>
    <row r="216">
      <c r="B216" s="105"/>
    </row>
    <row r="217">
      <c r="B217" s="105"/>
    </row>
    <row r="218">
      <c r="B218" s="105"/>
    </row>
    <row r="219">
      <c r="B219" s="105"/>
    </row>
    <row r="220">
      <c r="B220" s="105"/>
    </row>
    <row r="221">
      <c r="B221" s="105"/>
    </row>
    <row r="222">
      <c r="B222" s="105"/>
    </row>
    <row r="223">
      <c r="B223" s="105"/>
    </row>
    <row r="224">
      <c r="B224" s="105"/>
    </row>
    <row r="225">
      <c r="B225" s="105"/>
    </row>
    <row r="226">
      <c r="B226" s="105"/>
    </row>
    <row r="227">
      <c r="B227" s="105"/>
    </row>
    <row r="228">
      <c r="B228" s="105"/>
    </row>
    <row r="229">
      <c r="B229" s="105"/>
    </row>
    <row r="230">
      <c r="B230" s="105"/>
    </row>
    <row r="231">
      <c r="B231" s="105"/>
    </row>
    <row r="232">
      <c r="B232" s="105"/>
    </row>
    <row r="233">
      <c r="B233" s="105"/>
    </row>
    <row r="234">
      <c r="B234" s="105"/>
    </row>
    <row r="235">
      <c r="B235" s="105"/>
    </row>
    <row r="236">
      <c r="B236" s="105"/>
    </row>
    <row r="237">
      <c r="B237" s="105"/>
    </row>
    <row r="238">
      <c r="B238" s="105"/>
    </row>
    <row r="239">
      <c r="B239" s="105"/>
    </row>
    <row r="240">
      <c r="B240" s="105"/>
    </row>
    <row r="241">
      <c r="B241" s="105"/>
    </row>
    <row r="242">
      <c r="B242" s="105"/>
    </row>
    <row r="243">
      <c r="B243" s="105"/>
    </row>
    <row r="244">
      <c r="B244" s="105"/>
    </row>
    <row r="245">
      <c r="B245" s="105"/>
    </row>
    <row r="246">
      <c r="B246" s="105"/>
    </row>
    <row r="247">
      <c r="B247" s="105"/>
    </row>
    <row r="248">
      <c r="B248" s="105"/>
    </row>
    <row r="249">
      <c r="B249" s="105"/>
    </row>
    <row r="250">
      <c r="B250" s="105"/>
    </row>
    <row r="251">
      <c r="B251" s="105"/>
    </row>
    <row r="252">
      <c r="B252" s="105"/>
    </row>
    <row r="253">
      <c r="B253" s="105"/>
    </row>
    <row r="254">
      <c r="B254" s="105"/>
    </row>
    <row r="255">
      <c r="B255" s="105"/>
    </row>
    <row r="256">
      <c r="B256" s="105"/>
    </row>
    <row r="257">
      <c r="B257" s="105"/>
    </row>
    <row r="258">
      <c r="B258" s="105"/>
    </row>
    <row r="259">
      <c r="B259" s="105"/>
    </row>
    <row r="260">
      <c r="B260" s="105"/>
    </row>
    <row r="261">
      <c r="B261" s="105"/>
    </row>
    <row r="262">
      <c r="B262" s="105"/>
    </row>
    <row r="263">
      <c r="B263" s="105"/>
    </row>
    <row r="264">
      <c r="B264" s="105"/>
    </row>
    <row r="265">
      <c r="B265" s="105"/>
    </row>
    <row r="266">
      <c r="B266" s="105"/>
    </row>
    <row r="267">
      <c r="B267" s="105"/>
    </row>
    <row r="268">
      <c r="B268" s="105"/>
    </row>
    <row r="269">
      <c r="B269" s="105"/>
    </row>
    <row r="270">
      <c r="B270" s="105"/>
    </row>
    <row r="271">
      <c r="B271" s="105"/>
    </row>
    <row r="272">
      <c r="B272" s="105"/>
    </row>
    <row r="273">
      <c r="B273" s="105"/>
    </row>
    <row r="274">
      <c r="B274" s="105"/>
    </row>
    <row r="275">
      <c r="B275" s="105"/>
    </row>
    <row r="276">
      <c r="B276" s="105"/>
    </row>
    <row r="277">
      <c r="B277" s="105"/>
    </row>
    <row r="278">
      <c r="B278" s="105"/>
    </row>
    <row r="279">
      <c r="B279" s="105"/>
    </row>
    <row r="280">
      <c r="B280" s="105"/>
    </row>
    <row r="281">
      <c r="B281" s="105"/>
    </row>
    <row r="282">
      <c r="B282" s="105"/>
    </row>
    <row r="283">
      <c r="B283" s="105"/>
    </row>
    <row r="284">
      <c r="B284" s="105"/>
    </row>
    <row r="285">
      <c r="B285" s="105"/>
    </row>
    <row r="286">
      <c r="B286" s="105"/>
    </row>
    <row r="287">
      <c r="B287" s="105"/>
    </row>
    <row r="288">
      <c r="B288" s="105"/>
    </row>
    <row r="289">
      <c r="B289" s="105"/>
    </row>
    <row r="290">
      <c r="B290" s="105"/>
    </row>
    <row r="291">
      <c r="B291" s="105"/>
    </row>
    <row r="292">
      <c r="B292" s="105"/>
    </row>
    <row r="293">
      <c r="B293" s="105"/>
    </row>
    <row r="294">
      <c r="B294" s="105"/>
    </row>
    <row r="295">
      <c r="B295" s="105"/>
    </row>
    <row r="296">
      <c r="B296" s="105"/>
    </row>
    <row r="297">
      <c r="B297" s="105"/>
    </row>
    <row r="298">
      <c r="B298" s="105"/>
    </row>
    <row r="299">
      <c r="B299" s="105"/>
    </row>
    <row r="300">
      <c r="B300" s="105"/>
    </row>
    <row r="301">
      <c r="B301" s="105"/>
    </row>
    <row r="302">
      <c r="B302" s="105"/>
    </row>
    <row r="303">
      <c r="B303" s="105"/>
    </row>
    <row r="304">
      <c r="B304" s="105"/>
    </row>
    <row r="305">
      <c r="B305" s="105"/>
    </row>
    <row r="306">
      <c r="B306" s="105"/>
    </row>
    <row r="307">
      <c r="B307" s="105"/>
    </row>
    <row r="308">
      <c r="B308" s="105"/>
    </row>
    <row r="309">
      <c r="B309" s="105"/>
    </row>
    <row r="310">
      <c r="B310" s="105"/>
    </row>
    <row r="311">
      <c r="B311" s="105"/>
    </row>
    <row r="312">
      <c r="B312" s="105"/>
    </row>
    <row r="313">
      <c r="B313" s="105"/>
    </row>
    <row r="314">
      <c r="B314" s="105"/>
    </row>
    <row r="315">
      <c r="B315" s="105"/>
    </row>
    <row r="316">
      <c r="B316" s="105"/>
    </row>
    <row r="317">
      <c r="B317" s="105"/>
    </row>
    <row r="318">
      <c r="B318" s="105"/>
    </row>
    <row r="319">
      <c r="B319" s="105"/>
    </row>
    <row r="320">
      <c r="B320" s="105"/>
    </row>
    <row r="321">
      <c r="B321" s="105"/>
    </row>
    <row r="322">
      <c r="B322" s="105"/>
    </row>
    <row r="323">
      <c r="B323" s="105"/>
    </row>
    <row r="324">
      <c r="B324" s="105"/>
    </row>
    <row r="325">
      <c r="B325" s="105"/>
    </row>
    <row r="326">
      <c r="B326" s="105"/>
    </row>
    <row r="327">
      <c r="B327" s="105"/>
    </row>
    <row r="328">
      <c r="B328" s="105"/>
    </row>
    <row r="329">
      <c r="B329" s="105"/>
    </row>
    <row r="330">
      <c r="B330" s="105"/>
    </row>
    <row r="331">
      <c r="B331" s="105"/>
    </row>
    <row r="332">
      <c r="B332" s="105"/>
    </row>
    <row r="333">
      <c r="B333" s="105"/>
    </row>
    <row r="334">
      <c r="B334" s="105"/>
    </row>
    <row r="335">
      <c r="B335" s="105"/>
    </row>
    <row r="336">
      <c r="B336" s="105"/>
    </row>
    <row r="337">
      <c r="B337" s="105"/>
    </row>
    <row r="338">
      <c r="B338" s="105"/>
    </row>
    <row r="339">
      <c r="B339" s="105"/>
    </row>
    <row r="340">
      <c r="B340" s="105"/>
    </row>
    <row r="341">
      <c r="B341" s="105"/>
    </row>
    <row r="342">
      <c r="B342" s="105"/>
    </row>
    <row r="343">
      <c r="B343" s="105"/>
    </row>
    <row r="344">
      <c r="B344" s="105"/>
    </row>
    <row r="345">
      <c r="B345" s="105"/>
    </row>
    <row r="346">
      <c r="B346" s="105"/>
    </row>
    <row r="347">
      <c r="B347" s="105"/>
    </row>
    <row r="348">
      <c r="B348" s="105"/>
    </row>
    <row r="349">
      <c r="B349" s="105"/>
    </row>
    <row r="350">
      <c r="B350" s="105"/>
    </row>
    <row r="351">
      <c r="B351" s="105"/>
    </row>
    <row r="352">
      <c r="B352" s="105"/>
    </row>
    <row r="353">
      <c r="B353" s="105"/>
    </row>
    <row r="354">
      <c r="B354" s="105"/>
    </row>
    <row r="355">
      <c r="B355" s="105"/>
    </row>
    <row r="356">
      <c r="B356" s="105"/>
    </row>
    <row r="357">
      <c r="B357" s="105"/>
    </row>
    <row r="358">
      <c r="B358" s="105"/>
    </row>
    <row r="359">
      <c r="B359" s="105"/>
    </row>
    <row r="360">
      <c r="B360" s="105"/>
    </row>
    <row r="361">
      <c r="B361" s="105"/>
    </row>
    <row r="362">
      <c r="B362" s="105"/>
    </row>
    <row r="363">
      <c r="B363" s="105"/>
    </row>
    <row r="364">
      <c r="B364" s="105"/>
    </row>
    <row r="365">
      <c r="B365" s="105"/>
    </row>
    <row r="366">
      <c r="B366" s="105"/>
    </row>
    <row r="367">
      <c r="B367" s="105"/>
    </row>
    <row r="368">
      <c r="B368" s="105"/>
    </row>
    <row r="369">
      <c r="B369" s="105"/>
    </row>
    <row r="370">
      <c r="B370" s="105"/>
    </row>
    <row r="371">
      <c r="B371" s="105"/>
    </row>
    <row r="372">
      <c r="B372" s="105"/>
    </row>
    <row r="373">
      <c r="B373" s="105"/>
    </row>
    <row r="374">
      <c r="B374" s="105"/>
    </row>
    <row r="375">
      <c r="B375" s="105"/>
    </row>
    <row r="376">
      <c r="B376" s="105"/>
    </row>
    <row r="377">
      <c r="B377" s="105"/>
    </row>
    <row r="378">
      <c r="B378" s="105"/>
    </row>
    <row r="379">
      <c r="B379" s="105"/>
    </row>
    <row r="380">
      <c r="B380" s="105"/>
    </row>
    <row r="381">
      <c r="B381" s="105"/>
    </row>
    <row r="382">
      <c r="B382" s="105"/>
    </row>
    <row r="383">
      <c r="B383" s="105"/>
    </row>
    <row r="384">
      <c r="B384" s="105"/>
    </row>
    <row r="385">
      <c r="B385" s="105"/>
    </row>
    <row r="386">
      <c r="B386" s="105"/>
    </row>
    <row r="387">
      <c r="B387" s="105"/>
    </row>
    <row r="388">
      <c r="B388" s="105"/>
    </row>
    <row r="389">
      <c r="B389" s="105"/>
    </row>
    <row r="390">
      <c r="B390" s="105"/>
    </row>
    <row r="391">
      <c r="B391" s="105"/>
    </row>
    <row r="392">
      <c r="B392" s="105"/>
    </row>
    <row r="393">
      <c r="B393" s="105"/>
    </row>
    <row r="394">
      <c r="B394" s="105"/>
    </row>
    <row r="395">
      <c r="B395" s="105"/>
    </row>
    <row r="396">
      <c r="B396" s="105"/>
    </row>
    <row r="397">
      <c r="B397" s="105"/>
    </row>
    <row r="398">
      <c r="B398" s="105"/>
    </row>
    <row r="399">
      <c r="B399" s="105"/>
    </row>
    <row r="400">
      <c r="B400" s="105"/>
    </row>
    <row r="401">
      <c r="B401" s="105"/>
    </row>
    <row r="402">
      <c r="B402" s="105"/>
    </row>
    <row r="403">
      <c r="B403" s="105"/>
    </row>
    <row r="404">
      <c r="B404" s="105"/>
    </row>
    <row r="405">
      <c r="B405" s="105"/>
    </row>
    <row r="406">
      <c r="B406" s="105"/>
    </row>
    <row r="407">
      <c r="B407" s="105"/>
    </row>
    <row r="408">
      <c r="B408" s="105"/>
    </row>
    <row r="409">
      <c r="B409" s="105"/>
    </row>
    <row r="410">
      <c r="B410" s="105"/>
    </row>
    <row r="411">
      <c r="B411" s="105"/>
    </row>
    <row r="412">
      <c r="B412" s="105"/>
    </row>
    <row r="413">
      <c r="B413" s="105"/>
    </row>
    <row r="414">
      <c r="B414" s="105"/>
    </row>
    <row r="415">
      <c r="B415" s="105"/>
    </row>
    <row r="416">
      <c r="B416" s="105"/>
    </row>
    <row r="417">
      <c r="B417" s="105"/>
    </row>
    <row r="418">
      <c r="B418" s="105"/>
    </row>
    <row r="419">
      <c r="B419" s="105"/>
    </row>
    <row r="420">
      <c r="B420" s="105"/>
    </row>
    <row r="421">
      <c r="B421" s="105"/>
    </row>
    <row r="422">
      <c r="B422" s="105"/>
    </row>
    <row r="423">
      <c r="B423" s="105"/>
    </row>
    <row r="424">
      <c r="B424" s="105"/>
    </row>
    <row r="425">
      <c r="B425" s="105"/>
    </row>
    <row r="426">
      <c r="B426" s="105"/>
    </row>
    <row r="427">
      <c r="B427" s="105"/>
    </row>
    <row r="428">
      <c r="B428" s="105"/>
    </row>
    <row r="429">
      <c r="B429" s="105"/>
    </row>
    <row r="430">
      <c r="B430" s="105"/>
    </row>
    <row r="431">
      <c r="B431" s="105"/>
    </row>
    <row r="432">
      <c r="B432" s="105"/>
    </row>
    <row r="433">
      <c r="B433" s="105"/>
    </row>
    <row r="434">
      <c r="B434" s="105"/>
    </row>
    <row r="435">
      <c r="B435" s="105"/>
    </row>
    <row r="436">
      <c r="B436" s="105"/>
    </row>
    <row r="437">
      <c r="B437" s="105"/>
    </row>
    <row r="438">
      <c r="B438" s="105"/>
    </row>
    <row r="439">
      <c r="B439" s="105"/>
    </row>
    <row r="440">
      <c r="B440" s="105"/>
    </row>
    <row r="441">
      <c r="B441" s="105"/>
    </row>
    <row r="442">
      <c r="B442" s="105"/>
    </row>
    <row r="443">
      <c r="B443" s="105"/>
    </row>
    <row r="444">
      <c r="B444" s="105"/>
    </row>
    <row r="445">
      <c r="B445" s="105"/>
    </row>
    <row r="446">
      <c r="B446" s="105"/>
    </row>
    <row r="447">
      <c r="B447" s="105"/>
    </row>
    <row r="448">
      <c r="B448" s="105"/>
    </row>
    <row r="449">
      <c r="B449" s="105"/>
    </row>
    <row r="450">
      <c r="B450" s="105"/>
    </row>
    <row r="451">
      <c r="B451" s="105"/>
    </row>
    <row r="452">
      <c r="B452" s="105"/>
    </row>
    <row r="453">
      <c r="B453" s="105"/>
    </row>
    <row r="454">
      <c r="B454" s="105"/>
    </row>
    <row r="455">
      <c r="B455" s="105"/>
    </row>
    <row r="456">
      <c r="B456" s="105"/>
    </row>
    <row r="457">
      <c r="B457" s="105"/>
    </row>
    <row r="458">
      <c r="B458" s="105"/>
    </row>
    <row r="459">
      <c r="B459" s="105"/>
    </row>
    <row r="460">
      <c r="B460" s="105"/>
    </row>
    <row r="461">
      <c r="B461" s="105"/>
    </row>
    <row r="462">
      <c r="B462" s="105"/>
    </row>
    <row r="463">
      <c r="B463" s="105"/>
    </row>
    <row r="464">
      <c r="B464" s="105"/>
    </row>
    <row r="465">
      <c r="B465" s="105"/>
    </row>
    <row r="466">
      <c r="B466" s="105"/>
    </row>
    <row r="467">
      <c r="B467" s="105"/>
    </row>
    <row r="468">
      <c r="B468" s="105"/>
    </row>
    <row r="469">
      <c r="B469" s="105"/>
    </row>
    <row r="470">
      <c r="B470" s="105"/>
    </row>
    <row r="471">
      <c r="B471" s="105"/>
    </row>
    <row r="472">
      <c r="B472" s="105"/>
    </row>
    <row r="473">
      <c r="B473" s="105"/>
    </row>
    <row r="474">
      <c r="B474" s="105"/>
    </row>
    <row r="475">
      <c r="B475" s="105"/>
    </row>
    <row r="476">
      <c r="B476" s="105"/>
    </row>
    <row r="477">
      <c r="B477" s="105"/>
    </row>
    <row r="478">
      <c r="B478" s="105"/>
    </row>
    <row r="479">
      <c r="B479" s="105"/>
    </row>
    <row r="480">
      <c r="B480" s="105"/>
    </row>
    <row r="481">
      <c r="B481" s="105"/>
    </row>
    <row r="482">
      <c r="B482" s="105"/>
    </row>
    <row r="483">
      <c r="B483" s="105"/>
    </row>
    <row r="484">
      <c r="B484" s="105"/>
    </row>
    <row r="485">
      <c r="B485" s="105"/>
    </row>
    <row r="486">
      <c r="B486" s="105"/>
    </row>
    <row r="487">
      <c r="B487" s="105"/>
    </row>
    <row r="488">
      <c r="B488" s="105"/>
    </row>
    <row r="489">
      <c r="B489" s="105"/>
    </row>
    <row r="490">
      <c r="B490" s="105"/>
    </row>
    <row r="491">
      <c r="B491" s="105"/>
    </row>
    <row r="492">
      <c r="B492" s="105"/>
    </row>
    <row r="493">
      <c r="B493" s="105"/>
    </row>
    <row r="494">
      <c r="B494" s="105"/>
    </row>
    <row r="495">
      <c r="B495" s="105"/>
    </row>
    <row r="496">
      <c r="B496" s="105"/>
    </row>
    <row r="497">
      <c r="B497" s="105"/>
    </row>
    <row r="498">
      <c r="B498" s="105"/>
    </row>
    <row r="499">
      <c r="B499" s="105"/>
    </row>
    <row r="500">
      <c r="B500" s="105"/>
    </row>
    <row r="501">
      <c r="B501" s="105"/>
    </row>
    <row r="502">
      <c r="B502" s="105"/>
    </row>
    <row r="503">
      <c r="B503" s="105"/>
    </row>
    <row r="504">
      <c r="B504" s="105"/>
    </row>
    <row r="505">
      <c r="B505" s="105"/>
    </row>
    <row r="506">
      <c r="B506" s="105"/>
    </row>
    <row r="507">
      <c r="B507" s="105"/>
    </row>
    <row r="508">
      <c r="B508" s="105"/>
    </row>
    <row r="509">
      <c r="B509" s="105"/>
    </row>
    <row r="510">
      <c r="B510" s="105"/>
    </row>
    <row r="511">
      <c r="B511" s="105"/>
    </row>
    <row r="512">
      <c r="B512" s="105"/>
    </row>
    <row r="513">
      <c r="B513" s="105"/>
    </row>
    <row r="514">
      <c r="B514" s="105"/>
    </row>
    <row r="515">
      <c r="B515" s="105"/>
    </row>
    <row r="516">
      <c r="B516" s="105"/>
    </row>
    <row r="517">
      <c r="B517" s="105"/>
    </row>
    <row r="518">
      <c r="B518" s="105"/>
    </row>
    <row r="519">
      <c r="B519" s="105"/>
    </row>
    <row r="520">
      <c r="B520" s="105"/>
    </row>
    <row r="521">
      <c r="B521" s="105"/>
    </row>
    <row r="522">
      <c r="B522" s="105"/>
    </row>
    <row r="523">
      <c r="B523" s="105"/>
    </row>
    <row r="524">
      <c r="B524" s="105"/>
    </row>
    <row r="525">
      <c r="B525" s="105"/>
    </row>
    <row r="526">
      <c r="B526" s="105"/>
    </row>
    <row r="527">
      <c r="B527" s="105"/>
    </row>
    <row r="528">
      <c r="B528" s="105"/>
    </row>
    <row r="529">
      <c r="B529" s="105"/>
    </row>
    <row r="530">
      <c r="B530" s="105"/>
    </row>
    <row r="531">
      <c r="B531" s="105"/>
    </row>
    <row r="532">
      <c r="B532" s="105"/>
    </row>
    <row r="533">
      <c r="B533" s="105"/>
    </row>
    <row r="534">
      <c r="B534" s="105"/>
    </row>
    <row r="535">
      <c r="B535" s="105"/>
    </row>
    <row r="536">
      <c r="B536" s="105"/>
    </row>
    <row r="537">
      <c r="B537" s="105"/>
    </row>
    <row r="538">
      <c r="B538" s="105"/>
    </row>
    <row r="539">
      <c r="B539" s="105"/>
    </row>
    <row r="540">
      <c r="B540" s="105"/>
    </row>
    <row r="541">
      <c r="B541" s="105"/>
    </row>
    <row r="542">
      <c r="B542" s="105"/>
    </row>
    <row r="543">
      <c r="B543" s="105"/>
    </row>
    <row r="544">
      <c r="B544" s="105"/>
    </row>
    <row r="545">
      <c r="B545" s="105"/>
    </row>
    <row r="546">
      <c r="B546" s="105"/>
    </row>
    <row r="547">
      <c r="B547" s="105"/>
    </row>
    <row r="548">
      <c r="B548" s="105"/>
    </row>
    <row r="549">
      <c r="B549" s="105"/>
    </row>
    <row r="550">
      <c r="B550" s="105"/>
    </row>
    <row r="551">
      <c r="B551" s="105"/>
    </row>
    <row r="552">
      <c r="B552" s="105"/>
    </row>
    <row r="553">
      <c r="B553" s="105"/>
    </row>
    <row r="554">
      <c r="B554" s="105"/>
    </row>
    <row r="555">
      <c r="B555" s="105"/>
    </row>
    <row r="556">
      <c r="B556" s="105"/>
    </row>
    <row r="557">
      <c r="B557" s="105"/>
    </row>
    <row r="558">
      <c r="B558" s="105"/>
    </row>
    <row r="559">
      <c r="B559" s="105"/>
    </row>
    <row r="560">
      <c r="B560" s="105"/>
    </row>
    <row r="561">
      <c r="B561" s="105"/>
    </row>
    <row r="562">
      <c r="B562" s="105"/>
    </row>
    <row r="563">
      <c r="B563" s="105"/>
    </row>
    <row r="564">
      <c r="B564" s="105"/>
    </row>
    <row r="565">
      <c r="B565" s="105"/>
    </row>
    <row r="566">
      <c r="B566" s="105"/>
    </row>
    <row r="567">
      <c r="B567" s="105"/>
    </row>
    <row r="568">
      <c r="B568" s="105"/>
    </row>
    <row r="569">
      <c r="B569" s="105"/>
    </row>
    <row r="570">
      <c r="B570" s="105"/>
    </row>
    <row r="571">
      <c r="B571" s="105"/>
    </row>
    <row r="572">
      <c r="B572" s="105"/>
    </row>
    <row r="573">
      <c r="B573" s="105"/>
    </row>
    <row r="574">
      <c r="B574" s="105"/>
    </row>
    <row r="575">
      <c r="B575" s="105"/>
    </row>
    <row r="576">
      <c r="B576" s="105"/>
    </row>
    <row r="577">
      <c r="B577" s="105"/>
    </row>
    <row r="578">
      <c r="B578" s="105"/>
    </row>
    <row r="579">
      <c r="B579" s="105"/>
    </row>
    <row r="580">
      <c r="B580" s="105"/>
    </row>
    <row r="581">
      <c r="B581" s="105"/>
    </row>
    <row r="582">
      <c r="B582" s="105"/>
    </row>
    <row r="583">
      <c r="B583" s="105"/>
    </row>
    <row r="584">
      <c r="B584" s="105"/>
    </row>
    <row r="585">
      <c r="B585" s="105"/>
    </row>
    <row r="586">
      <c r="B586" s="105"/>
    </row>
    <row r="587">
      <c r="B587" s="105"/>
    </row>
    <row r="588">
      <c r="B588" s="105"/>
    </row>
    <row r="589">
      <c r="B589" s="105"/>
    </row>
    <row r="590">
      <c r="B590" s="105"/>
    </row>
    <row r="591">
      <c r="B591" s="105"/>
    </row>
    <row r="592">
      <c r="B592" s="105"/>
    </row>
    <row r="593">
      <c r="B593" s="105"/>
    </row>
    <row r="594">
      <c r="B594" s="105"/>
    </row>
    <row r="595">
      <c r="B595" s="105"/>
    </row>
    <row r="596">
      <c r="B596" s="105"/>
    </row>
    <row r="597">
      <c r="B597" s="105"/>
    </row>
    <row r="598">
      <c r="B598" s="105"/>
    </row>
    <row r="599">
      <c r="B599" s="105"/>
    </row>
    <row r="600">
      <c r="B600" s="105"/>
    </row>
    <row r="601">
      <c r="B601" s="105"/>
    </row>
    <row r="602">
      <c r="B602" s="105"/>
    </row>
    <row r="603">
      <c r="B603" s="105"/>
    </row>
    <row r="604">
      <c r="B604" s="105"/>
    </row>
    <row r="605">
      <c r="B605" s="105"/>
    </row>
    <row r="606">
      <c r="B606" s="105"/>
    </row>
    <row r="607">
      <c r="B607" s="105"/>
    </row>
    <row r="608">
      <c r="B608" s="105"/>
    </row>
    <row r="609">
      <c r="B609" s="105"/>
    </row>
    <row r="610">
      <c r="B610" s="105"/>
    </row>
    <row r="611">
      <c r="B611" s="105"/>
    </row>
    <row r="612">
      <c r="B612" s="105"/>
    </row>
    <row r="613">
      <c r="B613" s="105"/>
    </row>
    <row r="614">
      <c r="B614" s="105"/>
    </row>
    <row r="615">
      <c r="B615" s="105"/>
    </row>
    <row r="616">
      <c r="B616" s="105"/>
    </row>
    <row r="617">
      <c r="B617" s="105"/>
    </row>
    <row r="618">
      <c r="B618" s="105"/>
    </row>
    <row r="619">
      <c r="B619" s="105"/>
    </row>
    <row r="620">
      <c r="B620" s="105"/>
    </row>
    <row r="621">
      <c r="B621" s="105"/>
    </row>
    <row r="622">
      <c r="B622" s="105"/>
    </row>
    <row r="623">
      <c r="B623" s="105"/>
    </row>
    <row r="624">
      <c r="B624" s="105"/>
    </row>
    <row r="625">
      <c r="B625" s="105"/>
    </row>
    <row r="626">
      <c r="B626" s="105"/>
    </row>
    <row r="627">
      <c r="B627" s="105"/>
    </row>
    <row r="628">
      <c r="B628" s="105"/>
    </row>
    <row r="629">
      <c r="B629" s="105"/>
    </row>
    <row r="630">
      <c r="B630" s="105"/>
    </row>
    <row r="631">
      <c r="B631" s="105"/>
    </row>
    <row r="632">
      <c r="B632" s="105"/>
    </row>
    <row r="633">
      <c r="B633" s="105"/>
    </row>
    <row r="634">
      <c r="B634" s="105"/>
    </row>
    <row r="635">
      <c r="B635" s="105"/>
    </row>
    <row r="636">
      <c r="B636" s="105"/>
    </row>
    <row r="637">
      <c r="B637" s="105"/>
    </row>
    <row r="638">
      <c r="B638" s="105"/>
    </row>
    <row r="639">
      <c r="B639" s="105"/>
    </row>
    <row r="640">
      <c r="B640" s="105"/>
    </row>
    <row r="641">
      <c r="B641" s="105"/>
    </row>
    <row r="642">
      <c r="B642" s="105"/>
    </row>
    <row r="643">
      <c r="B643" s="105"/>
    </row>
    <row r="644">
      <c r="B644" s="105"/>
    </row>
    <row r="645">
      <c r="B645" s="105"/>
    </row>
    <row r="646">
      <c r="B646" s="105"/>
    </row>
    <row r="647">
      <c r="B647" s="105"/>
    </row>
    <row r="648">
      <c r="B648" s="105"/>
    </row>
    <row r="649">
      <c r="B649" s="105"/>
    </row>
    <row r="650">
      <c r="B650" s="105"/>
    </row>
    <row r="651">
      <c r="B651" s="105"/>
    </row>
    <row r="652">
      <c r="B652" s="105"/>
    </row>
    <row r="653">
      <c r="B653" s="105"/>
    </row>
    <row r="654">
      <c r="B654" s="105"/>
    </row>
    <row r="655">
      <c r="B655" s="105"/>
    </row>
    <row r="656">
      <c r="B656" s="105"/>
    </row>
    <row r="657">
      <c r="B657" s="105"/>
    </row>
    <row r="658">
      <c r="B658" s="105"/>
    </row>
    <row r="659">
      <c r="B659" s="105"/>
    </row>
    <row r="660">
      <c r="B660" s="105"/>
    </row>
    <row r="661">
      <c r="B661" s="105"/>
    </row>
    <row r="662">
      <c r="B662" s="105"/>
    </row>
    <row r="663">
      <c r="B663" s="105"/>
    </row>
    <row r="664">
      <c r="B664" s="105"/>
    </row>
    <row r="665">
      <c r="B665" s="105"/>
    </row>
    <row r="666">
      <c r="B666" s="105"/>
    </row>
    <row r="667">
      <c r="B667" s="105"/>
    </row>
    <row r="668">
      <c r="B668" s="105"/>
    </row>
    <row r="669">
      <c r="B669" s="105"/>
    </row>
    <row r="670">
      <c r="B670" s="105"/>
    </row>
    <row r="671">
      <c r="B671" s="105"/>
    </row>
    <row r="672">
      <c r="B672" s="105"/>
    </row>
    <row r="673">
      <c r="B673" s="105"/>
    </row>
    <row r="674">
      <c r="B674" s="105"/>
    </row>
    <row r="675">
      <c r="B675" s="105"/>
    </row>
    <row r="676">
      <c r="B676" s="105"/>
    </row>
    <row r="677">
      <c r="B677" s="105"/>
    </row>
    <row r="678">
      <c r="B678" s="105"/>
    </row>
    <row r="679">
      <c r="B679" s="105"/>
    </row>
    <row r="680">
      <c r="B680" s="105"/>
    </row>
    <row r="681">
      <c r="B681" s="105"/>
    </row>
    <row r="682">
      <c r="B682" s="105"/>
    </row>
    <row r="683">
      <c r="B683" s="105"/>
    </row>
    <row r="684">
      <c r="B684" s="105"/>
    </row>
    <row r="685">
      <c r="B685" s="105"/>
    </row>
    <row r="686">
      <c r="B686" s="105"/>
    </row>
    <row r="687">
      <c r="B687" s="105"/>
    </row>
    <row r="688">
      <c r="B688" s="105"/>
    </row>
    <row r="689">
      <c r="B689" s="105"/>
    </row>
    <row r="690">
      <c r="B690" s="105"/>
    </row>
    <row r="691">
      <c r="B691" s="105"/>
    </row>
    <row r="692">
      <c r="B692" s="105"/>
    </row>
    <row r="693">
      <c r="B693" s="105"/>
    </row>
    <row r="694">
      <c r="B694" s="105"/>
    </row>
    <row r="695">
      <c r="B695" s="105"/>
    </row>
    <row r="696">
      <c r="B696" s="105"/>
    </row>
    <row r="697">
      <c r="B697" s="105"/>
    </row>
    <row r="698">
      <c r="B698" s="105"/>
    </row>
    <row r="699">
      <c r="B699" s="105"/>
    </row>
    <row r="700">
      <c r="B700" s="105"/>
    </row>
    <row r="701">
      <c r="B701" s="105"/>
    </row>
    <row r="702">
      <c r="B702" s="105"/>
    </row>
    <row r="703">
      <c r="B703" s="105"/>
    </row>
    <row r="704">
      <c r="B704" s="105"/>
    </row>
    <row r="705">
      <c r="B705" s="105"/>
    </row>
    <row r="706">
      <c r="B706" s="105"/>
    </row>
    <row r="707">
      <c r="B707" s="105"/>
    </row>
    <row r="708">
      <c r="B708" s="105"/>
    </row>
    <row r="709">
      <c r="B709" s="105"/>
    </row>
    <row r="710">
      <c r="B710" s="105"/>
    </row>
    <row r="711">
      <c r="B711" s="105"/>
    </row>
    <row r="712">
      <c r="B712" s="105"/>
    </row>
    <row r="713">
      <c r="B713" s="105"/>
    </row>
    <row r="714">
      <c r="B714" s="105"/>
    </row>
    <row r="715">
      <c r="B715" s="105"/>
    </row>
    <row r="716">
      <c r="B716" s="105"/>
    </row>
    <row r="717">
      <c r="B717" s="105"/>
    </row>
    <row r="718">
      <c r="B718" s="105"/>
    </row>
    <row r="719">
      <c r="B719" s="105"/>
    </row>
    <row r="720">
      <c r="B720" s="105"/>
    </row>
    <row r="721">
      <c r="B721" s="105"/>
    </row>
    <row r="722">
      <c r="B722" s="105"/>
    </row>
    <row r="723">
      <c r="B723" s="105"/>
    </row>
    <row r="724">
      <c r="B724" s="105"/>
    </row>
    <row r="725">
      <c r="B725" s="105"/>
    </row>
    <row r="726">
      <c r="B726" s="105"/>
    </row>
    <row r="727">
      <c r="B727" s="105"/>
    </row>
    <row r="728">
      <c r="B728" s="105"/>
    </row>
    <row r="729">
      <c r="B729" s="105"/>
    </row>
    <row r="730">
      <c r="B730" s="105"/>
    </row>
    <row r="731">
      <c r="B731" s="105"/>
    </row>
    <row r="732">
      <c r="B732" s="105"/>
    </row>
    <row r="733">
      <c r="B733" s="105"/>
    </row>
    <row r="734">
      <c r="B734" s="105"/>
    </row>
    <row r="735">
      <c r="B735" s="105"/>
    </row>
    <row r="736">
      <c r="B736" s="105"/>
    </row>
    <row r="737">
      <c r="B737" s="105"/>
    </row>
    <row r="738">
      <c r="B738" s="105"/>
    </row>
    <row r="739">
      <c r="B739" s="105"/>
    </row>
    <row r="740">
      <c r="B740" s="105"/>
    </row>
    <row r="741">
      <c r="B741" s="105"/>
    </row>
    <row r="742">
      <c r="B742" s="105"/>
    </row>
    <row r="743">
      <c r="B743" s="105"/>
    </row>
    <row r="744">
      <c r="B744" s="105"/>
    </row>
    <row r="745">
      <c r="B745" s="105"/>
    </row>
    <row r="746">
      <c r="B746" s="105"/>
    </row>
    <row r="747">
      <c r="B747" s="105"/>
    </row>
    <row r="748">
      <c r="B748" s="105"/>
    </row>
    <row r="749">
      <c r="B749" s="105"/>
    </row>
    <row r="750">
      <c r="B750" s="105"/>
    </row>
    <row r="751">
      <c r="B751" s="105"/>
    </row>
    <row r="752">
      <c r="B752" s="105"/>
    </row>
    <row r="753">
      <c r="B753" s="105"/>
    </row>
    <row r="754">
      <c r="B754" s="105"/>
    </row>
    <row r="755">
      <c r="B755" s="105"/>
    </row>
    <row r="756">
      <c r="B756" s="105"/>
    </row>
    <row r="757">
      <c r="B757" s="105"/>
    </row>
    <row r="758">
      <c r="B758" s="105"/>
    </row>
    <row r="759">
      <c r="B759" s="105"/>
    </row>
    <row r="760">
      <c r="B760" s="105"/>
    </row>
    <row r="761">
      <c r="B761" s="105"/>
    </row>
    <row r="762">
      <c r="B762" s="105"/>
    </row>
    <row r="763">
      <c r="B763" s="105"/>
    </row>
    <row r="764">
      <c r="B764" s="105"/>
    </row>
    <row r="765">
      <c r="B765" s="105"/>
    </row>
    <row r="766">
      <c r="B766" s="105"/>
    </row>
    <row r="767">
      <c r="B767" s="105"/>
    </row>
    <row r="768">
      <c r="B768" s="105"/>
    </row>
    <row r="769">
      <c r="B769" s="105"/>
    </row>
    <row r="770">
      <c r="B770" s="105"/>
    </row>
    <row r="771">
      <c r="B771" s="105"/>
    </row>
    <row r="772">
      <c r="B772" s="105"/>
    </row>
    <row r="773">
      <c r="B773" s="105"/>
    </row>
    <row r="774">
      <c r="B774" s="105"/>
    </row>
    <row r="775">
      <c r="B775" s="105"/>
    </row>
    <row r="776">
      <c r="B776" s="105"/>
    </row>
    <row r="777">
      <c r="B777" s="105"/>
    </row>
    <row r="778">
      <c r="B778" s="105"/>
    </row>
    <row r="779">
      <c r="B779" s="105"/>
    </row>
    <row r="780">
      <c r="B780" s="105"/>
    </row>
    <row r="781">
      <c r="B781" s="105"/>
    </row>
    <row r="782">
      <c r="B782" s="105"/>
    </row>
    <row r="783">
      <c r="B783" s="105"/>
    </row>
    <row r="784">
      <c r="B784" s="105"/>
    </row>
    <row r="785">
      <c r="B785" s="105"/>
    </row>
    <row r="786">
      <c r="B786" s="105"/>
    </row>
    <row r="787">
      <c r="B787" s="105"/>
    </row>
    <row r="788">
      <c r="B788" s="105"/>
    </row>
    <row r="789">
      <c r="B789" s="105"/>
    </row>
    <row r="790">
      <c r="B790" s="105"/>
    </row>
    <row r="791">
      <c r="B791" s="105"/>
    </row>
    <row r="792">
      <c r="B792" s="105"/>
    </row>
    <row r="793">
      <c r="B793" s="105"/>
    </row>
    <row r="794">
      <c r="B794" s="105"/>
    </row>
    <row r="795">
      <c r="B795" s="105"/>
    </row>
    <row r="796">
      <c r="B796" s="105"/>
    </row>
    <row r="797">
      <c r="B797" s="105"/>
    </row>
    <row r="798">
      <c r="B798" s="105"/>
    </row>
    <row r="799">
      <c r="B799" s="105"/>
    </row>
    <row r="800">
      <c r="B800" s="105"/>
    </row>
    <row r="801">
      <c r="B801" s="105"/>
    </row>
    <row r="802">
      <c r="B802" s="105"/>
    </row>
    <row r="803">
      <c r="B803" s="105"/>
    </row>
    <row r="804">
      <c r="B804" s="105"/>
    </row>
    <row r="805">
      <c r="B805" s="105"/>
    </row>
    <row r="806">
      <c r="B806" s="105"/>
    </row>
    <row r="807">
      <c r="B807" s="105"/>
    </row>
    <row r="808">
      <c r="B808" s="105"/>
    </row>
    <row r="809">
      <c r="B809" s="105"/>
    </row>
    <row r="810">
      <c r="B810" s="105"/>
    </row>
    <row r="811">
      <c r="B811" s="105"/>
    </row>
    <row r="812">
      <c r="B812" s="105"/>
    </row>
    <row r="813">
      <c r="B813" s="105"/>
    </row>
    <row r="814">
      <c r="B814" s="105"/>
    </row>
    <row r="815">
      <c r="B815" s="105"/>
    </row>
    <row r="816">
      <c r="B816" s="105"/>
    </row>
    <row r="817">
      <c r="B817" s="105"/>
    </row>
    <row r="818">
      <c r="B818" s="105"/>
    </row>
    <row r="819">
      <c r="B819" s="105"/>
    </row>
    <row r="820">
      <c r="B820" s="105"/>
    </row>
    <row r="821">
      <c r="B821" s="105"/>
    </row>
    <row r="822">
      <c r="B822" s="105"/>
    </row>
    <row r="823">
      <c r="B823" s="105"/>
    </row>
    <row r="824">
      <c r="B824" s="105"/>
    </row>
    <row r="825">
      <c r="B825" s="105"/>
    </row>
    <row r="826">
      <c r="B826" s="105"/>
    </row>
    <row r="827">
      <c r="B827" s="105"/>
    </row>
    <row r="828">
      <c r="B828" s="105"/>
    </row>
    <row r="829">
      <c r="B829" s="105"/>
    </row>
    <row r="830">
      <c r="B830" s="105"/>
    </row>
    <row r="831">
      <c r="B831" s="105"/>
    </row>
    <row r="832">
      <c r="B832" s="105"/>
    </row>
    <row r="833">
      <c r="B833" s="105"/>
    </row>
    <row r="834">
      <c r="B834" s="105"/>
    </row>
    <row r="835">
      <c r="B835" s="105"/>
    </row>
    <row r="836">
      <c r="B836" s="105"/>
    </row>
    <row r="837">
      <c r="B837" s="105"/>
    </row>
    <row r="838">
      <c r="B838" s="105"/>
    </row>
    <row r="839">
      <c r="B839" s="105"/>
    </row>
    <row r="840">
      <c r="B840" s="105"/>
    </row>
    <row r="841">
      <c r="B841" s="105"/>
    </row>
    <row r="842">
      <c r="B842" s="105"/>
    </row>
    <row r="843">
      <c r="B843" s="105"/>
    </row>
    <row r="844">
      <c r="B844" s="105"/>
    </row>
    <row r="845">
      <c r="B845" s="105"/>
    </row>
    <row r="846">
      <c r="B846" s="105"/>
    </row>
    <row r="847">
      <c r="B847" s="105"/>
    </row>
    <row r="848">
      <c r="B848" s="105"/>
    </row>
    <row r="849">
      <c r="B849" s="105"/>
    </row>
    <row r="850">
      <c r="B850" s="105"/>
    </row>
    <row r="851">
      <c r="B851" s="105"/>
    </row>
    <row r="852">
      <c r="B852" s="105"/>
    </row>
    <row r="853">
      <c r="B853" s="105"/>
    </row>
    <row r="854">
      <c r="B854" s="105"/>
    </row>
    <row r="855">
      <c r="B855" s="105"/>
    </row>
    <row r="856">
      <c r="B856" s="105"/>
    </row>
    <row r="857">
      <c r="B857" s="105"/>
    </row>
    <row r="858">
      <c r="B858" s="105"/>
    </row>
    <row r="859">
      <c r="B859" s="105"/>
    </row>
    <row r="860">
      <c r="B860" s="105"/>
    </row>
    <row r="861">
      <c r="B861" s="105"/>
    </row>
    <row r="862">
      <c r="B862" s="105"/>
    </row>
    <row r="863">
      <c r="B863" s="105"/>
    </row>
    <row r="864">
      <c r="B864" s="105"/>
    </row>
    <row r="865">
      <c r="B865" s="105"/>
    </row>
    <row r="866">
      <c r="B866" s="105"/>
    </row>
    <row r="867">
      <c r="B867" s="105"/>
    </row>
    <row r="868">
      <c r="B868" s="105"/>
    </row>
    <row r="869">
      <c r="B869" s="105"/>
    </row>
    <row r="870">
      <c r="B870" s="105"/>
    </row>
    <row r="871">
      <c r="B871" s="105"/>
    </row>
    <row r="872">
      <c r="B872" s="105"/>
    </row>
    <row r="873">
      <c r="B873" s="105"/>
    </row>
    <row r="874">
      <c r="B874" s="105"/>
    </row>
    <row r="875">
      <c r="B875" s="105"/>
    </row>
    <row r="876">
      <c r="B876" s="105"/>
    </row>
    <row r="877">
      <c r="B877" s="105"/>
    </row>
    <row r="878">
      <c r="B878" s="105"/>
    </row>
    <row r="879">
      <c r="B879" s="105"/>
    </row>
    <row r="880">
      <c r="B880" s="105"/>
    </row>
    <row r="881">
      <c r="B881" s="105"/>
    </row>
    <row r="882">
      <c r="B882" s="105"/>
    </row>
    <row r="883">
      <c r="B883" s="105"/>
    </row>
    <row r="884">
      <c r="B884" s="105"/>
    </row>
    <row r="885">
      <c r="B885" s="105"/>
    </row>
    <row r="886">
      <c r="B886" s="105"/>
    </row>
    <row r="887">
      <c r="B887" s="105"/>
    </row>
    <row r="888">
      <c r="B888" s="105"/>
    </row>
    <row r="889">
      <c r="B889" s="105"/>
    </row>
    <row r="890">
      <c r="B890" s="105"/>
    </row>
    <row r="891">
      <c r="B891" s="105"/>
    </row>
    <row r="892">
      <c r="B892" s="105"/>
    </row>
    <row r="893">
      <c r="B893" s="105"/>
    </row>
    <row r="894">
      <c r="B894" s="105"/>
    </row>
    <row r="895">
      <c r="B895" s="105"/>
    </row>
    <row r="896">
      <c r="B896" s="105"/>
    </row>
    <row r="897">
      <c r="B897" s="105"/>
    </row>
    <row r="898">
      <c r="B898" s="105"/>
    </row>
    <row r="899">
      <c r="B899" s="105"/>
    </row>
    <row r="900">
      <c r="B900" s="105"/>
    </row>
    <row r="901">
      <c r="B901" s="105"/>
    </row>
    <row r="902">
      <c r="B902" s="105"/>
    </row>
    <row r="903">
      <c r="B903" s="105"/>
    </row>
    <row r="904">
      <c r="B904" s="105"/>
    </row>
    <row r="905">
      <c r="B905" s="105"/>
    </row>
    <row r="906">
      <c r="B906" s="105"/>
    </row>
    <row r="907">
      <c r="B907" s="105"/>
    </row>
    <row r="908">
      <c r="B908" s="105"/>
    </row>
    <row r="909">
      <c r="B909" s="105"/>
    </row>
    <row r="910">
      <c r="B910" s="105"/>
    </row>
    <row r="911">
      <c r="B911" s="105"/>
    </row>
    <row r="912">
      <c r="B912" s="105"/>
    </row>
    <row r="913">
      <c r="B913" s="105"/>
    </row>
    <row r="914">
      <c r="B914" s="105"/>
    </row>
    <row r="915">
      <c r="B915" s="105"/>
    </row>
    <row r="916">
      <c r="B916" s="105"/>
    </row>
    <row r="917">
      <c r="B917" s="105"/>
    </row>
    <row r="918">
      <c r="B918" s="105"/>
    </row>
    <row r="919">
      <c r="B919" s="105"/>
    </row>
    <row r="920">
      <c r="B920" s="105"/>
    </row>
    <row r="921">
      <c r="B921" s="105"/>
    </row>
    <row r="922">
      <c r="B922" s="105"/>
    </row>
    <row r="923">
      <c r="B923" s="105"/>
    </row>
    <row r="924">
      <c r="B924" s="105"/>
    </row>
    <row r="925">
      <c r="B925" s="105"/>
    </row>
    <row r="926">
      <c r="B926" s="105"/>
    </row>
    <row r="927">
      <c r="B927" s="105"/>
    </row>
    <row r="928">
      <c r="B928" s="105"/>
    </row>
    <row r="929">
      <c r="B929" s="105"/>
    </row>
    <row r="930">
      <c r="B930" s="105"/>
    </row>
    <row r="931">
      <c r="B931" s="105"/>
    </row>
    <row r="932">
      <c r="B932" s="105"/>
    </row>
    <row r="933">
      <c r="B933" s="105"/>
    </row>
    <row r="934">
      <c r="B934" s="105"/>
    </row>
    <row r="935">
      <c r="B935" s="105"/>
    </row>
    <row r="936">
      <c r="B936" s="105"/>
    </row>
    <row r="937">
      <c r="B937" s="105"/>
    </row>
    <row r="938">
      <c r="B938" s="105"/>
    </row>
    <row r="939">
      <c r="B939" s="105"/>
    </row>
    <row r="940">
      <c r="B940" s="105"/>
    </row>
    <row r="941">
      <c r="B941" s="105"/>
    </row>
    <row r="942">
      <c r="B942" s="105"/>
    </row>
    <row r="943">
      <c r="B943" s="105"/>
    </row>
    <row r="944">
      <c r="B944" s="105"/>
    </row>
    <row r="945">
      <c r="B945" s="105"/>
    </row>
    <row r="946">
      <c r="B946" s="105"/>
    </row>
    <row r="947">
      <c r="B947" s="105"/>
    </row>
    <row r="948">
      <c r="B948" s="105"/>
    </row>
    <row r="949">
      <c r="B949" s="105"/>
    </row>
    <row r="950">
      <c r="B950" s="105"/>
    </row>
    <row r="951">
      <c r="B951" s="105"/>
    </row>
    <row r="952">
      <c r="B952" s="105"/>
    </row>
    <row r="953">
      <c r="B953" s="105"/>
    </row>
    <row r="954">
      <c r="B954" s="105"/>
    </row>
    <row r="955">
      <c r="B955" s="105"/>
    </row>
    <row r="956">
      <c r="B956" s="105"/>
    </row>
    <row r="957">
      <c r="B957" s="105"/>
    </row>
    <row r="958">
      <c r="B958" s="105"/>
    </row>
    <row r="959">
      <c r="B959" s="105"/>
    </row>
    <row r="960">
      <c r="B960" s="105"/>
    </row>
    <row r="961">
      <c r="B961" s="105"/>
    </row>
    <row r="962">
      <c r="B962" s="105"/>
    </row>
    <row r="963">
      <c r="B963" s="105"/>
    </row>
    <row r="964">
      <c r="B964" s="105"/>
    </row>
    <row r="965">
      <c r="B965" s="105"/>
    </row>
    <row r="966">
      <c r="B966" s="105"/>
    </row>
    <row r="967">
      <c r="B967" s="105"/>
    </row>
    <row r="968">
      <c r="B968" s="105"/>
    </row>
    <row r="969">
      <c r="B969" s="105"/>
    </row>
    <row r="970">
      <c r="B970" s="105"/>
    </row>
    <row r="971">
      <c r="B971" s="105"/>
    </row>
    <row r="972">
      <c r="B972" s="105"/>
    </row>
    <row r="973">
      <c r="B973" s="105"/>
    </row>
    <row r="974">
      <c r="B974" s="105"/>
    </row>
    <row r="975">
      <c r="B975" s="105"/>
    </row>
    <row r="976">
      <c r="B976" s="105"/>
    </row>
    <row r="977">
      <c r="B977" s="105"/>
    </row>
    <row r="978">
      <c r="B978" s="105"/>
    </row>
    <row r="979">
      <c r="B979" s="105"/>
    </row>
    <row r="980">
      <c r="B980" s="105"/>
    </row>
    <row r="981">
      <c r="B981" s="105"/>
    </row>
    <row r="982">
      <c r="B982" s="105"/>
    </row>
    <row r="983">
      <c r="B983" s="105"/>
    </row>
    <row r="984">
      <c r="B984" s="105"/>
    </row>
    <row r="985">
      <c r="B985" s="105"/>
    </row>
    <row r="986">
      <c r="B986" s="105"/>
    </row>
    <row r="987">
      <c r="B987" s="105"/>
    </row>
    <row r="988">
      <c r="B988" s="105"/>
    </row>
    <row r="989">
      <c r="B989" s="105"/>
    </row>
    <row r="990">
      <c r="B990" s="105"/>
    </row>
    <row r="991">
      <c r="B991" s="105"/>
    </row>
    <row r="992">
      <c r="B992" s="105"/>
    </row>
    <row r="993">
      <c r="B993" s="105"/>
    </row>
    <row r="994">
      <c r="B994" s="105"/>
    </row>
    <row r="995">
      <c r="B995" s="105"/>
    </row>
    <row r="996">
      <c r="B996" s="105"/>
    </row>
    <row r="997">
      <c r="B997" s="105"/>
    </row>
    <row r="998">
      <c r="B998" s="105"/>
    </row>
    <row r="999">
      <c r="B999" s="105"/>
    </row>
    <row r="1000">
      <c r="B1000" s="105"/>
    </row>
  </sheetData>
  <conditionalFormatting sqref="D4:D14">
    <cfRule type="cellIs" dxfId="1" priority="1" operator="equal">
      <formula>"OVERDUE"</formula>
    </cfRule>
  </conditionalFormatting>
  <conditionalFormatting sqref="D4:D14">
    <cfRule type="cellIs" dxfId="1" priority="2" operator="equal">
      <formula>"NO DATE"</formula>
    </cfRule>
  </conditionalFormatting>
  <conditionalFormatting sqref="D4:D14">
    <cfRule type="cellIs" dxfId="2" priority="3" operator="equal">
      <formula>"DUE TODAY"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25.88"/>
    <col customWidth="1" min="3" max="3" width="18.0"/>
    <col customWidth="1" min="4" max="4" width="27.13"/>
    <col customWidth="1" min="15" max="15" width="16.0"/>
    <col customWidth="1" min="18" max="18" width="15.5"/>
    <col customWidth="1" min="19" max="19" width="23.0"/>
    <col customWidth="1" min="21" max="21" width="16.88"/>
    <col customWidth="1" min="22" max="22" width="28.25"/>
  </cols>
  <sheetData>
    <row r="1">
      <c r="A1" s="109" t="s">
        <v>432</v>
      </c>
      <c r="B1" s="110"/>
      <c r="O1" s="36"/>
    </row>
    <row r="2">
      <c r="A2" s="3" t="s">
        <v>437</v>
      </c>
      <c r="O2" s="36"/>
    </row>
    <row r="3">
      <c r="A3" s="3" t="s">
        <v>440</v>
      </c>
      <c r="B3" s="36" t="str">
        <f t="array" ref="B3">IFERROR(INDEX($A$11:$A$100,MATCH(1,$N$11:$N$100,0)),"ADD GOALS")</f>
        <v>Go to the gym 4x a week</v>
      </c>
      <c r="O3" s="36"/>
    </row>
    <row r="4">
      <c r="A4" s="3" t="s">
        <v>472</v>
      </c>
      <c r="B4" s="36" t="str">
        <f t="array" ref="B4">IFERROR(INDEX($A$11:$A$100,MATCH(1,$T$11:$T$100,0)),"ADD GOALS")</f>
        <v>Travel to Australia </v>
      </c>
      <c r="D4" s="3" t="s">
        <v>477</v>
      </c>
      <c r="E4" s="55">
        <v>350.0</v>
      </c>
      <c r="O4" s="36"/>
    </row>
    <row r="5">
      <c r="A5" s="3" t="s">
        <v>480</v>
      </c>
      <c r="B5" s="36" t="str">
        <f t="array" ref="B5">IFERROR(INDEX($A$11:$A$100,MATCH(1,$U$11:$U$100,0)),"ADD GOALS")</f>
        <v>Go to the gym 4x a week</v>
      </c>
      <c r="D5" s="3" t="s">
        <v>483</v>
      </c>
      <c r="E5" s="55">
        <v>50.0</v>
      </c>
      <c r="O5" s="36"/>
    </row>
    <row r="6">
      <c r="A6" s="3" t="s">
        <v>485</v>
      </c>
      <c r="B6" s="36" t="str">
        <f t="array" ref="B6">IFERROR(INDEX($A$11:$A$100,MATCH(1,$V$11:$V$100,0)),"ADD GOALS")</f>
        <v>Go to the gym 4x a week</v>
      </c>
      <c r="D6" s="3" t="s">
        <v>491</v>
      </c>
      <c r="E6" s="55">
        <v>70.0</v>
      </c>
      <c r="O6" s="36"/>
    </row>
    <row r="7">
      <c r="A7" s="3" t="s">
        <v>492</v>
      </c>
      <c r="B7" s="36" t="str">
        <f>IFERROR(__xludf.DUMMYFUNCTION("IFERROR(INDEX($A$11:$A$100,MATCH(MAX(FILTER($F$11:$F$100+$J$11:$J$100,$D$11:$D$100&lt;=MAX(0,$E$4-$E$8))),FILTER($F$11:$F$100+$J$11:$J$100,$D$11:$D$100&lt;=MAX(0,$E$4-$E$8)),0)),""NONE YET"")"),"Look into USA semester/term abroad for 3rd year")</f>
        <v>Look into USA semester/term abroad for 3rd year</v>
      </c>
      <c r="D7" s="3" t="s">
        <v>494</v>
      </c>
      <c r="E7" s="3">
        <v>40.0</v>
      </c>
      <c r="O7" s="36"/>
    </row>
    <row r="8">
      <c r="D8" s="3" t="s">
        <v>495</v>
      </c>
      <c r="E8" s="55">
        <v>50.0</v>
      </c>
      <c r="O8" s="36"/>
    </row>
    <row r="9">
      <c r="O9" s="36"/>
    </row>
    <row r="10">
      <c r="A10" s="3" t="s">
        <v>443</v>
      </c>
      <c r="B10" s="3" t="s">
        <v>497</v>
      </c>
      <c r="C10" s="3" t="s">
        <v>498</v>
      </c>
      <c r="D10" s="3" t="s">
        <v>499</v>
      </c>
      <c r="E10" s="3" t="s">
        <v>500</v>
      </c>
      <c r="F10" s="3" t="s">
        <v>501</v>
      </c>
      <c r="G10" s="3" t="s">
        <v>502</v>
      </c>
      <c r="H10" s="3" t="s">
        <v>503</v>
      </c>
      <c r="I10" s="3" t="s">
        <v>504</v>
      </c>
      <c r="J10" s="3" t="s">
        <v>505</v>
      </c>
      <c r="K10" s="3" t="s">
        <v>506</v>
      </c>
      <c r="L10" s="3" t="s">
        <v>507</v>
      </c>
      <c r="M10" s="3" t="s">
        <v>508</v>
      </c>
      <c r="N10" s="3" t="s">
        <v>10</v>
      </c>
      <c r="O10" s="3" t="s">
        <v>138</v>
      </c>
      <c r="P10" s="3" t="s">
        <v>509</v>
      </c>
      <c r="Q10" s="3" t="s">
        <v>510</v>
      </c>
      <c r="R10" s="3" t="s">
        <v>511</v>
      </c>
      <c r="S10" s="3" t="s">
        <v>512</v>
      </c>
      <c r="T10" s="3" t="s">
        <v>513</v>
      </c>
      <c r="U10" s="3" t="s">
        <v>514</v>
      </c>
      <c r="V10" s="3" t="s">
        <v>515</v>
      </c>
    </row>
    <row r="11">
      <c r="A11" s="3" t="s">
        <v>516</v>
      </c>
      <c r="B11" s="95" t="s">
        <v>517</v>
      </c>
      <c r="C11" s="3" t="s">
        <v>518</v>
      </c>
      <c r="D11" s="55">
        <v>7000.0</v>
      </c>
      <c r="E11" s="3">
        <v>1.0</v>
      </c>
      <c r="F11" s="3">
        <v>10.0</v>
      </c>
      <c r="G11" s="36">
        <f t="shared" ref="G11:G86" si="1">IF(A11="","",IF(D11&lt;=0,10,ROUND(MAX(1,MIN(10,(MAX(0,$E$4-$E$8)/D11)*10)),1)))</f>
        <v>1</v>
      </c>
      <c r="H11" s="36">
        <f t="shared" ref="H11:H104" si="2">IF(A11="","",IF(E11&lt;=0,10,ROUND(MAX(1,MIN(10,10-(E11/MAX(1,$E$7)*10))),1)))</f>
        <v>9.8</v>
      </c>
      <c r="I11" s="3">
        <f t="shared" ref="I11:I82" si="3">IF(A11="","",ROUND(MIN(10,MAX(1,
((11-G11)*0.45)+
((11-H11)*0.25)+
(MIN(10,E11/2)*0.2)+
(IF(C11="NOW",1,IF(C11="THIS YEAR",2,IF(C11="1 YEAR",3,IF(C11="1-3 YEARS",5,IF(C11="3 YEARS",7,6)))))*0.1)
)),1))</f>
        <v>5.4</v>
      </c>
      <c r="J11" s="36">
        <f t="shared" ref="J11:J100" si="4">IF(A11="","",ROUND((G11*0.4)+(H11*0.3)+((11-I11)*0.3),1))</f>
        <v>5</v>
      </c>
      <c r="K11" s="3">
        <f t="shared" ref="K11:K100" si="5">IF(A11="","",ROUND(
(MAX(1,MIN(10,IF(D11&lt;=0,10,(MAX(0,$E$4-$E$8)+($E$6*12))/D11*10)))*0.4)
+
(MIN(10,H11+0.5)*0.3)
+
(MIN(10,12-I11)*0.3)
,1))</f>
        <v>5.6</v>
      </c>
      <c r="L11" s="3">
        <f t="shared" ref="L11:L106" si="6">IF(A11="","",ROUND(
(MAX(1,MIN(10,IF(D11&lt;=0,10,(MAX(0,$E$4-$E$8)+($E$6*36))/D11*10)))*0.4)
+
(MIN(10,H11+1.5)*0.3)
+
(MIN(10,14-I11)*0.3)
,1))</f>
        <v>7.2</v>
      </c>
      <c r="M11" s="36">
        <f t="shared" ref="M11:M100" si="7">IF(A11="","",ROUND((F11*0.45)+(J11*0.4)+((11-I11)*0.15),2))</f>
        <v>7.34</v>
      </c>
      <c r="N11" s="36">
        <f>IFERROR(__xludf.DUMMYFUNCTION("IF(A11="""","""",RANK(M11,FILTER($M$11:$M$100,$A$11:$A$100&lt;&gt;""""),0))"),18.0)</f>
        <v>18</v>
      </c>
      <c r="O11" s="36" t="str">
        <f t="shared" ref="O11:O101" si="8">IF(A11="","",IF(AND(F11&gt;=8,J11&lt;4),"DREAM",IF(J11&gt;=8,"DO NOW",IF(J11&gt;=6,"START PLANNING",IF(K11&gt;=7,"BUILD TOWARDS","PARK")))))</f>
        <v>PARK</v>
      </c>
      <c r="P11" s="36" t="str">
        <f t="shared" ref="P11:P102" si="9">IF(A11="","",IF(J11&gt;=9,"NONE",IF(G11&lt;=H11,IF(G11&lt;=11-I11,"MONEY","DIFFICULTY"),IF(H11&lt;=11-I11,"TIME","DIFFICULTY"))))</f>
        <v>MONEY</v>
      </c>
      <c r="R11" s="36">
        <f t="shared" ref="R11:R92" si="10">IF(A11="","",MAX(0,D11-MAX(0,$E$4-$E$8)))</f>
        <v>6700</v>
      </c>
      <c r="S11" s="36">
        <f t="shared" ref="S11:S92" si="11">IF(A11="","",IF(R11=0,0,IF($E$6&lt;=0,"NO SAVINGS",ROUNDUP(R11/$E$6,0))))</f>
        <v>96</v>
      </c>
      <c r="T11" s="36">
        <f>IFERROR(__xludf.DUMMYFUNCTION("IF(A11="""","""",RANK(F11,FILTER($F$11:$F$100,$A$11:$A$100&lt;&gt;""""),0))"),1.0)</f>
        <v>1</v>
      </c>
      <c r="U11" s="36">
        <f>IFERROR(__xludf.DUMMYFUNCTION("IF(A11="""","""",RANK(
(F11*0.5+K11*0.5),
FILTER($F$11:$F$100*0.5+$K$11:$K$100*0.5,$A$11:$A$100&lt;&gt;""""),
0))"),16.0)</f>
        <v>16</v>
      </c>
      <c r="V11" s="36">
        <f>IFERROR(__xludf.DUMMYFUNCTION("IF(A11="""","""",RANK(
(F11*0.65+L11*0.35),
FILTER($F$11:$F$100*0.65+$L$11:$L$100*0.35,$A$11:$A$100&lt;&gt;""""),
0))"),6.0)</f>
        <v>6</v>
      </c>
    </row>
    <row r="12">
      <c r="A12" s="3" t="s">
        <v>667</v>
      </c>
      <c r="B12" s="95" t="s">
        <v>669</v>
      </c>
      <c r="C12" s="3" t="s">
        <v>670</v>
      </c>
      <c r="D12" s="55">
        <v>0.0</v>
      </c>
      <c r="E12" s="3">
        <v>2.0</v>
      </c>
      <c r="F12" s="3">
        <v>7.0</v>
      </c>
      <c r="G12" s="36">
        <f t="shared" si="1"/>
        <v>10</v>
      </c>
      <c r="H12" s="36">
        <f t="shared" si="2"/>
        <v>9.5</v>
      </c>
      <c r="I12" s="3">
        <f t="shared" si="3"/>
        <v>1.1</v>
      </c>
      <c r="J12" s="36">
        <f t="shared" si="4"/>
        <v>9.8</v>
      </c>
      <c r="K12" s="3">
        <f t="shared" si="5"/>
        <v>10</v>
      </c>
      <c r="L12" s="3">
        <f t="shared" si="6"/>
        <v>10</v>
      </c>
      <c r="M12" s="36">
        <f t="shared" si="7"/>
        <v>8.56</v>
      </c>
      <c r="N12" s="36">
        <f>IFERROR(__xludf.DUMMYFUNCTION("IF(A12="""","""",RANK(M12,FILTER($M$11:$M$100,$A$11:$A$100&lt;&gt;""""),0))"),8.0)</f>
        <v>8</v>
      </c>
      <c r="O12" s="36" t="str">
        <f t="shared" si="8"/>
        <v>DO NOW</v>
      </c>
      <c r="P12" s="36" t="str">
        <f t="shared" si="9"/>
        <v>NONE</v>
      </c>
      <c r="R12" s="36">
        <f t="shared" si="10"/>
        <v>0</v>
      </c>
      <c r="S12" s="36">
        <f t="shared" si="11"/>
        <v>0</v>
      </c>
      <c r="T12" s="36">
        <f>IFERROR(__xludf.DUMMYFUNCTION("IF(A12="""","""",RANK(F12,FILTER($F$11:$F$100,$A$11:$A$100&lt;&gt;""""),0))"),9.0)</f>
        <v>9</v>
      </c>
      <c r="U12" s="36">
        <f>IFERROR(__xludf.DUMMYFUNCTION("IF(A12="""","""",RANK(
(F12*0.5+K12*0.5),
FILTER($F$11:$F$100*0.5+$K$11:$K$100*0.5,$A$11:$A$100&lt;&gt;""""),
0))"),7.0)</f>
        <v>7</v>
      </c>
      <c r="V12" s="36">
        <f>IFERROR(__xludf.DUMMYFUNCTION("IF(A12="""","""",RANK(
(F12*0.65+L12*0.35),
FILTER($F$11:$F$100*0.65+$L$11:$L$100*0.35,$A$11:$A$100&lt;&gt;""""),
0))"),9.0)</f>
        <v>9</v>
      </c>
    </row>
    <row r="13">
      <c r="A13" s="3" t="s">
        <v>684</v>
      </c>
      <c r="B13" s="95" t="s">
        <v>686</v>
      </c>
      <c r="C13" s="3" t="s">
        <v>687</v>
      </c>
      <c r="D13" s="55">
        <v>0.0</v>
      </c>
      <c r="E13" s="3">
        <v>12.0</v>
      </c>
      <c r="F13" s="3">
        <v>10.0</v>
      </c>
      <c r="G13" s="36">
        <f t="shared" si="1"/>
        <v>10</v>
      </c>
      <c r="H13" s="36">
        <f t="shared" si="2"/>
        <v>7</v>
      </c>
      <c r="I13" s="3">
        <f t="shared" si="3"/>
        <v>2.9</v>
      </c>
      <c r="J13" s="36">
        <f t="shared" si="4"/>
        <v>8.5</v>
      </c>
      <c r="K13" s="3">
        <f t="shared" si="5"/>
        <v>9</v>
      </c>
      <c r="L13" s="3">
        <f t="shared" si="6"/>
        <v>9.6</v>
      </c>
      <c r="M13" s="36">
        <f t="shared" si="7"/>
        <v>9.12</v>
      </c>
      <c r="N13" s="36">
        <f>IFERROR(__xludf.DUMMYFUNCTION("IF(A13="""","""",RANK(M13,FILTER($M$11:$M$100,$A$11:$A$100&lt;&gt;""""),0))"),3.0)</f>
        <v>3</v>
      </c>
      <c r="O13" s="36" t="str">
        <f t="shared" si="8"/>
        <v>DO NOW</v>
      </c>
      <c r="P13" s="36" t="str">
        <f t="shared" si="9"/>
        <v>TIME</v>
      </c>
      <c r="R13" s="36">
        <f t="shared" si="10"/>
        <v>0</v>
      </c>
      <c r="S13" s="36">
        <f t="shared" si="11"/>
        <v>0</v>
      </c>
      <c r="T13" s="36">
        <f>IFERROR(__xludf.DUMMYFUNCTION("IF(A13="""","""",RANK(F13,FILTER($F$11:$F$100,$A$11:$A$100&lt;&gt;""""),0))"),1.0)</f>
        <v>1</v>
      </c>
      <c r="U13" s="36">
        <f>IFERROR(__xludf.DUMMYFUNCTION("IF(A13="""","""",RANK(
(F13*0.5+K13*0.5),
FILTER($F$11:$F$100*0.5+$K$11:$K$100*0.5,$A$11:$A$100&lt;&gt;""""),
0))"),2.0)</f>
        <v>2</v>
      </c>
      <c r="V13" s="36">
        <f>IFERROR(__xludf.DUMMYFUNCTION("IF(A13="""","""",RANK(
(F13*0.65+L13*0.35),
FILTER($F$11:$F$100*0.65+$L$11:$L$100*0.35,$A$11:$A$100&lt;&gt;""""),
0))"),2.0)</f>
        <v>2</v>
      </c>
    </row>
    <row r="14">
      <c r="A14" s="3" t="s">
        <v>708</v>
      </c>
      <c r="B14" s="95" t="s">
        <v>709</v>
      </c>
      <c r="C14" s="3" t="s">
        <v>710</v>
      </c>
      <c r="D14" s="55">
        <v>0.0</v>
      </c>
      <c r="E14" s="3">
        <v>0.0</v>
      </c>
      <c r="F14" s="3">
        <v>8.0</v>
      </c>
      <c r="G14" s="36">
        <f t="shared" si="1"/>
        <v>10</v>
      </c>
      <c r="H14" s="36">
        <f t="shared" si="2"/>
        <v>10</v>
      </c>
      <c r="I14" s="3">
        <f t="shared" si="3"/>
        <v>1</v>
      </c>
      <c r="J14" s="36">
        <f t="shared" si="4"/>
        <v>10</v>
      </c>
      <c r="K14" s="3">
        <f t="shared" si="5"/>
        <v>10</v>
      </c>
      <c r="L14" s="3">
        <f t="shared" si="6"/>
        <v>10</v>
      </c>
      <c r="M14" s="36">
        <f t="shared" si="7"/>
        <v>9.1</v>
      </c>
      <c r="N14" s="36">
        <f>IFERROR(__xludf.DUMMYFUNCTION("IF(A14="""","""",RANK(M14,FILTER($M$11:$M$100,$A$11:$A$100&lt;&gt;""""),0))"),4.0)</f>
        <v>4</v>
      </c>
      <c r="O14" s="36" t="str">
        <f t="shared" si="8"/>
        <v>DO NOW</v>
      </c>
      <c r="P14" s="36" t="str">
        <f t="shared" si="9"/>
        <v>NONE</v>
      </c>
      <c r="R14" s="36">
        <f t="shared" si="10"/>
        <v>0</v>
      </c>
      <c r="S14" s="36">
        <f t="shared" si="11"/>
        <v>0</v>
      </c>
      <c r="T14" s="36">
        <f>IFERROR(__xludf.DUMMYFUNCTION("IF(A14="""","""",RANK(F14,FILTER($F$11:$F$100,$A$11:$A$100&lt;&gt;""""),0))"),7.0)</f>
        <v>7</v>
      </c>
      <c r="U14" s="36">
        <f>IFERROR(__xludf.DUMMYFUNCTION("IF(A14="""","""",RANK(
(F14*0.5+K14*0.5),
FILTER($F$11:$F$100*0.5+$K$11:$K$100*0.5,$A$11:$A$100&lt;&gt;""""),
0))"),4.0)</f>
        <v>4</v>
      </c>
      <c r="V14" s="36">
        <f>IFERROR(__xludf.DUMMYFUNCTION("IF(A14="""","""",RANK(
(F14*0.65+L14*0.35),
FILTER($F$11:$F$100*0.65+$L$11:$L$100*0.35,$A$11:$A$100&lt;&gt;""""),
0))"),7.0)</f>
        <v>7</v>
      </c>
    </row>
    <row r="15">
      <c r="A15" s="3" t="s">
        <v>711</v>
      </c>
      <c r="B15" s="95" t="s">
        <v>712</v>
      </c>
      <c r="C15" s="95" t="s">
        <v>687</v>
      </c>
      <c r="D15" s="55">
        <v>100.0</v>
      </c>
      <c r="E15" s="3">
        <v>18.0</v>
      </c>
      <c r="F15" s="3">
        <v>9.0</v>
      </c>
      <c r="G15" s="36">
        <f t="shared" si="1"/>
        <v>10</v>
      </c>
      <c r="H15" s="36">
        <f t="shared" si="2"/>
        <v>5.5</v>
      </c>
      <c r="I15" s="3">
        <f t="shared" si="3"/>
        <v>3.8</v>
      </c>
      <c r="J15" s="36">
        <f t="shared" si="4"/>
        <v>7.8</v>
      </c>
      <c r="K15" s="3">
        <f t="shared" si="5"/>
        <v>8.3</v>
      </c>
      <c r="L15" s="3">
        <f t="shared" si="6"/>
        <v>9.1</v>
      </c>
      <c r="M15" s="36">
        <f t="shared" si="7"/>
        <v>8.25</v>
      </c>
      <c r="N15" s="36">
        <f>IFERROR(__xludf.DUMMYFUNCTION("IF(A15="""","""",RANK(M15,FILTER($M$11:$M$100,$A$11:$A$100&lt;&gt;""""),0))"),11.0)</f>
        <v>11</v>
      </c>
      <c r="O15" s="36" t="str">
        <f t="shared" si="8"/>
        <v>START PLANNING</v>
      </c>
      <c r="P15" s="36" t="str">
        <f t="shared" si="9"/>
        <v>TIME</v>
      </c>
      <c r="R15" s="36">
        <f t="shared" si="10"/>
        <v>0</v>
      </c>
      <c r="S15" s="36">
        <f t="shared" si="11"/>
        <v>0</v>
      </c>
      <c r="T15" s="36">
        <f>IFERROR(__xludf.DUMMYFUNCTION("IF(A15="""","""",RANK(F15,FILTER($F$11:$F$100,$A$11:$A$100&lt;&gt;""""),0))"),5.0)</f>
        <v>5</v>
      </c>
      <c r="U15" s="36">
        <f>IFERROR(__xludf.DUMMYFUNCTION("IF(A15="""","""",RANK(
(F15*0.5+K15*0.5),
FILTER($F$11:$F$100*0.5+$K$11:$K$100*0.5,$A$11:$A$100&lt;&gt;""""),
0))"),6.0)</f>
        <v>6</v>
      </c>
      <c r="V15" s="36">
        <f>IFERROR(__xludf.DUMMYFUNCTION("IF(A15="""","""",RANK(
(F15*0.65+L15*0.35),
FILTER($F$11:$F$100*0.65+$L$11:$L$100*0.35,$A$11:$A$100&lt;&gt;""""),
0))"),5.0)</f>
        <v>5</v>
      </c>
    </row>
    <row r="16">
      <c r="A16" s="3" t="s">
        <v>713</v>
      </c>
      <c r="B16" s="95" t="s">
        <v>714</v>
      </c>
      <c r="C16" s="95" t="s">
        <v>670</v>
      </c>
      <c r="D16" s="55">
        <v>0.0</v>
      </c>
      <c r="E16" s="3">
        <v>2.0</v>
      </c>
      <c r="F16" s="3">
        <v>6.0</v>
      </c>
      <c r="G16" s="36">
        <f t="shared" si="1"/>
        <v>10</v>
      </c>
      <c r="H16" s="36">
        <f t="shared" si="2"/>
        <v>9.5</v>
      </c>
      <c r="I16" s="3">
        <f t="shared" si="3"/>
        <v>1.1</v>
      </c>
      <c r="J16" s="36">
        <f t="shared" si="4"/>
        <v>9.8</v>
      </c>
      <c r="K16" s="3">
        <f t="shared" si="5"/>
        <v>10</v>
      </c>
      <c r="L16" s="3">
        <f t="shared" si="6"/>
        <v>10</v>
      </c>
      <c r="M16" s="36">
        <f t="shared" si="7"/>
        <v>8.11</v>
      </c>
      <c r="N16" s="36">
        <f>IFERROR(__xludf.DUMMYFUNCTION("IF(A16="""","""",RANK(M16,FILTER($M$11:$M$100,$A$11:$A$100&lt;&gt;""""),0))"),12.0)</f>
        <v>12</v>
      </c>
      <c r="O16" s="36" t="str">
        <f t="shared" si="8"/>
        <v>DO NOW</v>
      </c>
      <c r="P16" s="36" t="str">
        <f t="shared" si="9"/>
        <v>NONE</v>
      </c>
      <c r="R16" s="36">
        <f t="shared" si="10"/>
        <v>0</v>
      </c>
      <c r="S16" s="36">
        <f t="shared" si="11"/>
        <v>0</v>
      </c>
      <c r="T16" s="36">
        <f>IFERROR(__xludf.DUMMYFUNCTION("IF(A16="""","""",RANK(F16,FILTER($F$11:$F$100,$A$11:$A$100&lt;&gt;""""),0))"),14.0)</f>
        <v>14</v>
      </c>
      <c r="U16" s="36">
        <f>IFERROR(__xludf.DUMMYFUNCTION("IF(A16="""","""",RANK(
(F16*0.5+K16*0.5),
FILTER($F$11:$F$100*0.5+$K$11:$K$100*0.5,$A$11:$A$100&lt;&gt;""""),
0))"),13.0)</f>
        <v>13</v>
      </c>
      <c r="V16" s="36">
        <f>IFERROR(__xludf.DUMMYFUNCTION("IF(A16="""","""",RANK(
(F16*0.65+L16*0.35),
FILTER($F$11:$F$100*0.65+$L$11:$L$100*0.35,$A$11:$A$100&lt;&gt;""""),
0))"),14.0)</f>
        <v>14</v>
      </c>
    </row>
    <row r="17">
      <c r="A17" s="3" t="s">
        <v>715</v>
      </c>
      <c r="B17" s="95" t="s">
        <v>686</v>
      </c>
      <c r="C17" s="95" t="s">
        <v>687</v>
      </c>
      <c r="D17" s="55">
        <v>0.0</v>
      </c>
      <c r="E17" s="3">
        <v>1.0</v>
      </c>
      <c r="F17" s="3">
        <v>7.0</v>
      </c>
      <c r="G17" s="36">
        <f t="shared" si="1"/>
        <v>10</v>
      </c>
      <c r="H17" s="36">
        <f t="shared" si="2"/>
        <v>9.8</v>
      </c>
      <c r="I17" s="3">
        <f t="shared" si="3"/>
        <v>1.1</v>
      </c>
      <c r="J17" s="36">
        <f t="shared" si="4"/>
        <v>9.9</v>
      </c>
      <c r="K17" s="3">
        <f t="shared" si="5"/>
        <v>10</v>
      </c>
      <c r="L17" s="3">
        <f t="shared" si="6"/>
        <v>10</v>
      </c>
      <c r="M17" s="36">
        <f t="shared" si="7"/>
        <v>8.6</v>
      </c>
      <c r="N17" s="36">
        <f>IFERROR(__xludf.DUMMYFUNCTION("IF(A17="""","""",RANK(M17,FILTER($M$11:$M$100,$A$11:$A$100&lt;&gt;""""),0))"),7.0)</f>
        <v>7</v>
      </c>
      <c r="O17" s="36" t="str">
        <f t="shared" si="8"/>
        <v>DO NOW</v>
      </c>
      <c r="P17" s="36" t="str">
        <f t="shared" si="9"/>
        <v>NONE</v>
      </c>
      <c r="R17" s="36">
        <f t="shared" si="10"/>
        <v>0</v>
      </c>
      <c r="S17" s="36">
        <f t="shared" si="11"/>
        <v>0</v>
      </c>
      <c r="T17" s="36">
        <f>IFERROR(__xludf.DUMMYFUNCTION("IF(A17="""","""",RANK(F17,FILTER($F$11:$F$100,$A$11:$A$100&lt;&gt;""""),0))"),9.0)</f>
        <v>9</v>
      </c>
      <c r="U17" s="36">
        <f>IFERROR(__xludf.DUMMYFUNCTION("IF(A17="""","""",RANK(
(F17*0.5+K17*0.5),
FILTER($F$11:$F$100*0.5+$K$11:$K$100*0.5,$A$11:$A$100&lt;&gt;""""),
0))"),7.0)</f>
        <v>7</v>
      </c>
      <c r="V17" s="36">
        <f>IFERROR(__xludf.DUMMYFUNCTION("IF(A17="""","""",RANK(
(F17*0.65+L17*0.35),
FILTER($F$11:$F$100*0.65+$L$11:$L$100*0.35,$A$11:$A$100&lt;&gt;""""),
0))"),9.0)</f>
        <v>9</v>
      </c>
    </row>
    <row r="18">
      <c r="A18" s="3" t="s">
        <v>716</v>
      </c>
      <c r="B18" s="95" t="s">
        <v>717</v>
      </c>
      <c r="C18" s="95" t="s">
        <v>670</v>
      </c>
      <c r="D18" s="55">
        <v>100.0</v>
      </c>
      <c r="E18" s="3">
        <v>6.0</v>
      </c>
      <c r="F18" s="3">
        <v>10.0</v>
      </c>
      <c r="G18" s="36">
        <f t="shared" si="1"/>
        <v>10</v>
      </c>
      <c r="H18" s="36">
        <f t="shared" si="2"/>
        <v>8.5</v>
      </c>
      <c r="I18" s="3">
        <f t="shared" si="3"/>
        <v>1.8</v>
      </c>
      <c r="J18" s="36">
        <f t="shared" si="4"/>
        <v>9.3</v>
      </c>
      <c r="K18" s="3">
        <f t="shared" si="5"/>
        <v>9.7</v>
      </c>
      <c r="L18" s="3">
        <f t="shared" si="6"/>
        <v>10</v>
      </c>
      <c r="M18" s="36">
        <f t="shared" si="7"/>
        <v>9.6</v>
      </c>
      <c r="N18" s="36">
        <f>IFERROR(__xludf.DUMMYFUNCTION("IF(A18="""","""",RANK(M18,FILTER($M$11:$M$100,$A$11:$A$100&lt;&gt;""""),0))"),1.0)</f>
        <v>1</v>
      </c>
      <c r="O18" s="36" t="str">
        <f t="shared" si="8"/>
        <v>DO NOW</v>
      </c>
      <c r="P18" s="36" t="str">
        <f t="shared" si="9"/>
        <v>NONE</v>
      </c>
      <c r="R18" s="36">
        <f t="shared" si="10"/>
        <v>0</v>
      </c>
      <c r="S18" s="36">
        <f t="shared" si="11"/>
        <v>0</v>
      </c>
      <c r="T18" s="36">
        <f>IFERROR(__xludf.DUMMYFUNCTION("IF(A18="""","""",RANK(F18,FILTER($F$11:$F$100,$A$11:$A$100&lt;&gt;""""),0))"),1.0)</f>
        <v>1</v>
      </c>
      <c r="U18" s="36">
        <f>IFERROR(__xludf.DUMMYFUNCTION("IF(A18="""","""",RANK(
(F18*0.5+K18*0.5),
FILTER($F$11:$F$100*0.5+$K$11:$K$100*0.5,$A$11:$A$100&lt;&gt;""""),
0))"),1.0)</f>
        <v>1</v>
      </c>
      <c r="V18" s="36">
        <f>IFERROR(__xludf.DUMMYFUNCTION("IF(A18="""","""",RANK(
(F18*0.65+L18*0.35),
FILTER($F$11:$F$100*0.65+$L$11:$L$100*0.35,$A$11:$A$100&lt;&gt;""""),
0))"),1.0)</f>
        <v>1</v>
      </c>
    </row>
    <row r="19">
      <c r="A19" s="3" t="s">
        <v>718</v>
      </c>
      <c r="B19" s="95" t="s">
        <v>709</v>
      </c>
      <c r="C19" s="95" t="s">
        <v>687</v>
      </c>
      <c r="D19" s="55">
        <v>0.0</v>
      </c>
      <c r="E19" s="3">
        <v>0.0</v>
      </c>
      <c r="F19" s="3">
        <v>7.0</v>
      </c>
      <c r="G19" s="36">
        <f t="shared" si="1"/>
        <v>10</v>
      </c>
      <c r="H19" s="36">
        <f t="shared" si="2"/>
        <v>10</v>
      </c>
      <c r="I19" s="3">
        <f t="shared" si="3"/>
        <v>1</v>
      </c>
      <c r="J19" s="36">
        <f t="shared" si="4"/>
        <v>10</v>
      </c>
      <c r="K19" s="3">
        <f t="shared" si="5"/>
        <v>10</v>
      </c>
      <c r="L19" s="3">
        <f t="shared" si="6"/>
        <v>10</v>
      </c>
      <c r="M19" s="36">
        <f t="shared" si="7"/>
        <v>8.65</v>
      </c>
      <c r="N19" s="36">
        <f>IFERROR(__xludf.DUMMYFUNCTION("IF(A19="""","""",RANK(M19,FILTER($M$11:$M$100,$A$11:$A$100&lt;&gt;""""),0))"),6.0)</f>
        <v>6</v>
      </c>
      <c r="O19" s="36" t="str">
        <f t="shared" si="8"/>
        <v>DO NOW</v>
      </c>
      <c r="P19" s="36" t="str">
        <f t="shared" si="9"/>
        <v>NONE</v>
      </c>
      <c r="R19" s="36">
        <f t="shared" si="10"/>
        <v>0</v>
      </c>
      <c r="S19" s="36">
        <f t="shared" si="11"/>
        <v>0</v>
      </c>
      <c r="T19" s="36">
        <f>IFERROR(__xludf.DUMMYFUNCTION("IF(A19="""","""",RANK(F19,FILTER($F$11:$F$100,$A$11:$A$100&lt;&gt;""""),0))"),9.0)</f>
        <v>9</v>
      </c>
      <c r="U19" s="36">
        <f>IFERROR(__xludf.DUMMYFUNCTION("IF(A19="""","""",RANK(
(F19*0.5+K19*0.5),
FILTER($F$11:$F$100*0.5+$K$11:$K$100*0.5,$A$11:$A$100&lt;&gt;""""),
0))"),7.0)</f>
        <v>7</v>
      </c>
      <c r="V19" s="36">
        <f>IFERROR(__xludf.DUMMYFUNCTION("IF(A19="""","""",RANK(
(F19*0.65+L19*0.35),
FILTER($F$11:$F$100*0.65+$L$11:$L$100*0.35,$A$11:$A$100&lt;&gt;""""),
0))"),9.0)</f>
        <v>9</v>
      </c>
    </row>
    <row r="20">
      <c r="A20" s="3" t="s">
        <v>719</v>
      </c>
      <c r="B20" s="95" t="s">
        <v>714</v>
      </c>
      <c r="C20" s="95" t="s">
        <v>670</v>
      </c>
      <c r="D20" s="55">
        <v>300.0</v>
      </c>
      <c r="E20" s="3">
        <v>1.0</v>
      </c>
      <c r="F20" s="3">
        <v>5.0</v>
      </c>
      <c r="G20" s="36">
        <f t="shared" si="1"/>
        <v>10</v>
      </c>
      <c r="H20" s="36">
        <f t="shared" si="2"/>
        <v>9.8</v>
      </c>
      <c r="I20" s="3">
        <f t="shared" si="3"/>
        <v>1</v>
      </c>
      <c r="J20" s="36">
        <f t="shared" si="4"/>
        <v>9.9</v>
      </c>
      <c r="K20" s="3">
        <f t="shared" si="5"/>
        <v>10</v>
      </c>
      <c r="L20" s="3">
        <f t="shared" si="6"/>
        <v>10</v>
      </c>
      <c r="M20" s="36">
        <f t="shared" si="7"/>
        <v>7.71</v>
      </c>
      <c r="N20" s="36">
        <f>IFERROR(__xludf.DUMMYFUNCTION("IF(A20="""","""",RANK(M20,FILTER($M$11:$M$100,$A$11:$A$100&lt;&gt;""""),0))"),15.0)</f>
        <v>15</v>
      </c>
      <c r="O20" s="36" t="str">
        <f t="shared" si="8"/>
        <v>DO NOW</v>
      </c>
      <c r="P20" s="36" t="str">
        <f t="shared" si="9"/>
        <v>NONE</v>
      </c>
      <c r="R20" s="36">
        <f t="shared" si="10"/>
        <v>0</v>
      </c>
      <c r="S20" s="36">
        <f t="shared" si="11"/>
        <v>0</v>
      </c>
      <c r="T20" s="36">
        <f>IFERROR(__xludf.DUMMYFUNCTION("IF(A20="""","""",RANK(F20,FILTER($F$11:$F$100,$A$11:$A$100&lt;&gt;""""),0))"),17.0)</f>
        <v>17</v>
      </c>
      <c r="U20" s="36">
        <f>IFERROR(__xludf.DUMMYFUNCTION("IF(A20="""","""",RANK(
(F20*0.5+K20*0.5),
FILTER($F$11:$F$100*0.5+$K$11:$K$100*0.5,$A$11:$A$100&lt;&gt;""""),
0))"),17.0)</f>
        <v>17</v>
      </c>
      <c r="V20" s="36">
        <f>IFERROR(__xludf.DUMMYFUNCTION("IF(A20="""","""",RANK(
(F20*0.65+L20*0.35),
FILTER($F$11:$F$100*0.65+$L$11:$L$100*0.35,$A$11:$A$100&lt;&gt;""""),
0))"),17.0)</f>
        <v>17</v>
      </c>
    </row>
    <row r="21">
      <c r="A21" s="3" t="s">
        <v>720</v>
      </c>
      <c r="B21" s="95" t="s">
        <v>712</v>
      </c>
      <c r="C21" s="95" t="s">
        <v>710</v>
      </c>
      <c r="D21" s="55">
        <v>100.0</v>
      </c>
      <c r="E21" s="3">
        <v>2.0</v>
      </c>
      <c r="F21" s="3">
        <v>6.0</v>
      </c>
      <c r="G21" s="36">
        <f t="shared" si="1"/>
        <v>10</v>
      </c>
      <c r="H21" s="36">
        <f t="shared" si="2"/>
        <v>9.5</v>
      </c>
      <c r="I21" s="3">
        <f t="shared" si="3"/>
        <v>1.3</v>
      </c>
      <c r="J21" s="36">
        <f t="shared" si="4"/>
        <v>9.8</v>
      </c>
      <c r="K21" s="3">
        <f t="shared" si="5"/>
        <v>10</v>
      </c>
      <c r="L21" s="3">
        <f t="shared" si="6"/>
        <v>10</v>
      </c>
      <c r="M21" s="36">
        <f t="shared" si="7"/>
        <v>8.08</v>
      </c>
      <c r="N21" s="36">
        <f>IFERROR(__xludf.DUMMYFUNCTION("IF(A21="""","""",RANK(M21,FILTER($M$11:$M$100,$A$11:$A$100&lt;&gt;""""),0))"),14.0)</f>
        <v>14</v>
      </c>
      <c r="O21" s="36" t="str">
        <f t="shared" si="8"/>
        <v>DO NOW</v>
      </c>
      <c r="P21" s="36" t="str">
        <f t="shared" si="9"/>
        <v>NONE</v>
      </c>
      <c r="R21" s="36">
        <f t="shared" si="10"/>
        <v>0</v>
      </c>
      <c r="S21" s="36">
        <f t="shared" si="11"/>
        <v>0</v>
      </c>
      <c r="T21" s="36">
        <f>IFERROR(__xludf.DUMMYFUNCTION("IF(A21="""","""",RANK(F21,FILTER($F$11:$F$100,$A$11:$A$100&lt;&gt;""""),0))"),14.0)</f>
        <v>14</v>
      </c>
      <c r="U21" s="36">
        <f>IFERROR(__xludf.DUMMYFUNCTION("IF(A21="""","""",RANK(
(F21*0.5+K21*0.5),
FILTER($F$11:$F$100*0.5+$K$11:$K$100*0.5,$A$11:$A$100&lt;&gt;""""),
0))"),13.0)</f>
        <v>13</v>
      </c>
      <c r="V21" s="36">
        <f>IFERROR(__xludf.DUMMYFUNCTION("IF(A21="""","""",RANK(
(F21*0.65+L21*0.35),
FILTER($F$11:$F$100*0.65+$L$11:$L$100*0.35,$A$11:$A$100&lt;&gt;""""),
0))"),14.0)</f>
        <v>14</v>
      </c>
    </row>
    <row r="22">
      <c r="A22" s="3" t="s">
        <v>724</v>
      </c>
      <c r="B22" s="95" t="s">
        <v>712</v>
      </c>
      <c r="C22" s="95" t="s">
        <v>670</v>
      </c>
      <c r="D22" s="55">
        <v>0.0</v>
      </c>
      <c r="E22" s="3">
        <v>2.0</v>
      </c>
      <c r="F22" s="3">
        <v>7.0</v>
      </c>
      <c r="G22" s="36">
        <f t="shared" si="1"/>
        <v>10</v>
      </c>
      <c r="H22" s="36">
        <f t="shared" si="2"/>
        <v>9.5</v>
      </c>
      <c r="I22" s="3">
        <f t="shared" si="3"/>
        <v>1.1</v>
      </c>
      <c r="J22" s="36">
        <f t="shared" si="4"/>
        <v>9.8</v>
      </c>
      <c r="K22" s="3">
        <f t="shared" si="5"/>
        <v>10</v>
      </c>
      <c r="L22" s="3">
        <f t="shared" si="6"/>
        <v>10</v>
      </c>
      <c r="M22" s="36">
        <f t="shared" si="7"/>
        <v>8.56</v>
      </c>
      <c r="N22" s="36">
        <f>IFERROR(__xludf.DUMMYFUNCTION("IF(A22="""","""",RANK(M22,FILTER($M$11:$M$100,$A$11:$A$100&lt;&gt;""""),0))"),8.0)</f>
        <v>8</v>
      </c>
      <c r="O22" s="36" t="str">
        <f t="shared" si="8"/>
        <v>DO NOW</v>
      </c>
      <c r="P22" s="36" t="str">
        <f t="shared" si="9"/>
        <v>NONE</v>
      </c>
      <c r="R22" s="36">
        <f t="shared" si="10"/>
        <v>0</v>
      </c>
      <c r="S22" s="36">
        <f t="shared" si="11"/>
        <v>0</v>
      </c>
      <c r="T22" s="36">
        <f>IFERROR(__xludf.DUMMYFUNCTION("IF(A22="""","""",RANK(F22,FILTER($F$11:$F$100,$A$11:$A$100&lt;&gt;""""),0))"),9.0)</f>
        <v>9</v>
      </c>
      <c r="U22" s="36">
        <f>IFERROR(__xludf.DUMMYFUNCTION("IF(A22="""","""",RANK(
(F22*0.5+K22*0.5),
FILTER($F$11:$F$100*0.5+$K$11:$K$100*0.5,$A$11:$A$100&lt;&gt;""""),
0))"),7.0)</f>
        <v>7</v>
      </c>
      <c r="V22" s="36">
        <f>IFERROR(__xludf.DUMMYFUNCTION("IF(A22="""","""",RANK(
(F22*0.65+L22*0.35),
FILTER($F$11:$F$100*0.65+$L$11:$L$100*0.35,$A$11:$A$100&lt;&gt;""""),
0))"),9.0)</f>
        <v>9</v>
      </c>
    </row>
    <row r="23">
      <c r="A23" s="3" t="s">
        <v>731</v>
      </c>
      <c r="B23" s="95" t="s">
        <v>712</v>
      </c>
      <c r="C23" s="95" t="s">
        <v>687</v>
      </c>
      <c r="D23" s="55">
        <v>30.0</v>
      </c>
      <c r="E23" s="3">
        <v>2.0</v>
      </c>
      <c r="F23" s="3">
        <v>6.0</v>
      </c>
      <c r="G23" s="36">
        <f t="shared" si="1"/>
        <v>10</v>
      </c>
      <c r="H23" s="36">
        <f t="shared" si="2"/>
        <v>9.5</v>
      </c>
      <c r="I23" s="3">
        <f t="shared" si="3"/>
        <v>1.2</v>
      </c>
      <c r="J23" s="36">
        <f t="shared" si="4"/>
        <v>9.8</v>
      </c>
      <c r="K23" s="3">
        <f t="shared" si="5"/>
        <v>10</v>
      </c>
      <c r="L23" s="3">
        <f t="shared" si="6"/>
        <v>10</v>
      </c>
      <c r="M23" s="36">
        <f t="shared" si="7"/>
        <v>8.09</v>
      </c>
      <c r="N23" s="36">
        <f>IFERROR(__xludf.DUMMYFUNCTION("IF(A23="""","""",RANK(M23,FILTER($M$11:$M$100,$A$11:$A$100&lt;&gt;""""),0))"),13.0)</f>
        <v>13</v>
      </c>
      <c r="O23" s="36" t="str">
        <f t="shared" si="8"/>
        <v>DO NOW</v>
      </c>
      <c r="P23" s="36" t="str">
        <f t="shared" si="9"/>
        <v>NONE</v>
      </c>
      <c r="R23" s="36">
        <f t="shared" si="10"/>
        <v>0</v>
      </c>
      <c r="S23" s="36">
        <f t="shared" si="11"/>
        <v>0</v>
      </c>
      <c r="T23" s="36">
        <f>IFERROR(__xludf.DUMMYFUNCTION("IF(A23="""","""",RANK(F23,FILTER($F$11:$F$100,$A$11:$A$100&lt;&gt;""""),0))"),14.0)</f>
        <v>14</v>
      </c>
      <c r="U23" s="36">
        <f>IFERROR(__xludf.DUMMYFUNCTION("IF(A23="""","""",RANK(
(F23*0.5+K23*0.5),
FILTER($F$11:$F$100*0.5+$K$11:$K$100*0.5,$A$11:$A$100&lt;&gt;""""),
0))"),13.0)</f>
        <v>13</v>
      </c>
      <c r="V23" s="36">
        <f>IFERROR(__xludf.DUMMYFUNCTION("IF(A23="""","""",RANK(
(F23*0.65+L23*0.35),
FILTER($F$11:$F$100*0.65+$L$11:$L$100*0.35,$A$11:$A$100&lt;&gt;""""),
0))"),14.0)</f>
        <v>14</v>
      </c>
    </row>
    <row r="24">
      <c r="A24" s="3" t="s">
        <v>732</v>
      </c>
      <c r="B24" s="95" t="s">
        <v>686</v>
      </c>
      <c r="C24" s="95" t="s">
        <v>687</v>
      </c>
      <c r="D24" s="55">
        <v>0.0</v>
      </c>
      <c r="E24" s="3">
        <v>2.0</v>
      </c>
      <c r="F24" s="3">
        <v>7.0</v>
      </c>
      <c r="G24" s="36">
        <f t="shared" si="1"/>
        <v>10</v>
      </c>
      <c r="H24" s="36">
        <f t="shared" si="2"/>
        <v>9.5</v>
      </c>
      <c r="I24" s="3">
        <f t="shared" si="3"/>
        <v>1.2</v>
      </c>
      <c r="J24" s="36">
        <f t="shared" si="4"/>
        <v>9.8</v>
      </c>
      <c r="K24" s="3">
        <f t="shared" si="5"/>
        <v>10</v>
      </c>
      <c r="L24" s="3">
        <f t="shared" si="6"/>
        <v>10</v>
      </c>
      <c r="M24" s="36">
        <f t="shared" si="7"/>
        <v>8.54</v>
      </c>
      <c r="N24" s="36">
        <f>IFERROR(__xludf.DUMMYFUNCTION("IF(A24="""","""",RANK(M24,FILTER($M$11:$M$100,$A$11:$A$100&lt;&gt;""""),0))"),10.0)</f>
        <v>10</v>
      </c>
      <c r="O24" s="36" t="str">
        <f t="shared" si="8"/>
        <v>DO NOW</v>
      </c>
      <c r="P24" s="36" t="str">
        <f t="shared" si="9"/>
        <v>NONE</v>
      </c>
      <c r="R24" s="36">
        <f t="shared" si="10"/>
        <v>0</v>
      </c>
      <c r="S24" s="36">
        <f t="shared" si="11"/>
        <v>0</v>
      </c>
      <c r="T24" s="36">
        <f>IFERROR(__xludf.DUMMYFUNCTION("IF(A24="""","""",RANK(F24,FILTER($F$11:$F$100,$A$11:$A$100&lt;&gt;""""),0))"),9.0)</f>
        <v>9</v>
      </c>
      <c r="U24" s="36">
        <f>IFERROR(__xludf.DUMMYFUNCTION("IF(A24="""","""",RANK(
(F24*0.5+K24*0.5),
FILTER($F$11:$F$100*0.5+$K$11:$K$100*0.5,$A$11:$A$100&lt;&gt;""""),
0))"),7.0)</f>
        <v>7</v>
      </c>
      <c r="V24" s="36">
        <f>IFERROR(__xludf.DUMMYFUNCTION("IF(A24="""","""",RANK(
(F24*0.65+L24*0.35),
FILTER($F$11:$F$100*0.65+$L$11:$L$100*0.35,$A$11:$A$100&lt;&gt;""""),
0))"),9.0)</f>
        <v>9</v>
      </c>
    </row>
    <row r="25">
      <c r="A25" s="3" t="s">
        <v>737</v>
      </c>
      <c r="B25" s="95" t="s">
        <v>714</v>
      </c>
      <c r="C25" s="95" t="s">
        <v>710</v>
      </c>
      <c r="D25" s="55">
        <v>20.0</v>
      </c>
      <c r="E25" s="3">
        <v>2.0</v>
      </c>
      <c r="F25" s="3">
        <v>5.0</v>
      </c>
      <c r="G25" s="36">
        <f t="shared" si="1"/>
        <v>10</v>
      </c>
      <c r="H25" s="36">
        <f t="shared" si="2"/>
        <v>9.5</v>
      </c>
      <c r="I25" s="3">
        <f t="shared" si="3"/>
        <v>1.3</v>
      </c>
      <c r="J25" s="36">
        <f t="shared" si="4"/>
        <v>9.8</v>
      </c>
      <c r="K25" s="3">
        <f t="shared" si="5"/>
        <v>10</v>
      </c>
      <c r="L25" s="3">
        <f t="shared" si="6"/>
        <v>10</v>
      </c>
      <c r="M25" s="36">
        <f t="shared" si="7"/>
        <v>7.63</v>
      </c>
      <c r="N25" s="36">
        <f>IFERROR(__xludf.DUMMYFUNCTION("IF(A25="""","""",RANK(M25,FILTER($M$11:$M$100,$A$11:$A$100&lt;&gt;""""),0))"),16.0)</f>
        <v>16</v>
      </c>
      <c r="O25" s="36" t="str">
        <f t="shared" si="8"/>
        <v>DO NOW</v>
      </c>
      <c r="P25" s="36" t="str">
        <f t="shared" si="9"/>
        <v>NONE</v>
      </c>
      <c r="R25" s="36">
        <f t="shared" si="10"/>
        <v>0</v>
      </c>
      <c r="S25" s="36">
        <f t="shared" si="11"/>
        <v>0</v>
      </c>
      <c r="T25" s="36">
        <f>IFERROR(__xludf.DUMMYFUNCTION("IF(A25="""","""",RANK(F25,FILTER($F$11:$F$100,$A$11:$A$100&lt;&gt;""""),0))"),17.0)</f>
        <v>17</v>
      </c>
      <c r="U25" s="36">
        <f>IFERROR(__xludf.DUMMYFUNCTION("IF(A25="""","""",RANK(
(F25*0.5+K25*0.5),
FILTER($F$11:$F$100*0.5+$K$11:$K$100*0.5,$A$11:$A$100&lt;&gt;""""),
0))"),17.0)</f>
        <v>17</v>
      </c>
      <c r="V25" s="36">
        <f>IFERROR(__xludf.DUMMYFUNCTION("IF(A25="""","""",RANK(
(F25*0.65+L25*0.35),
FILTER($F$11:$F$100*0.65+$L$11:$L$100*0.35,$A$11:$A$100&lt;&gt;""""),
0))"),17.0)</f>
        <v>17</v>
      </c>
    </row>
    <row r="26">
      <c r="A26" s="3" t="s">
        <v>745</v>
      </c>
      <c r="B26" s="95" t="s">
        <v>714</v>
      </c>
      <c r="C26" s="95" t="s">
        <v>670</v>
      </c>
      <c r="D26" s="55">
        <v>0.0</v>
      </c>
      <c r="E26" s="3">
        <v>1.0</v>
      </c>
      <c r="F26" s="3">
        <v>8.0</v>
      </c>
      <c r="G26" s="36">
        <f t="shared" si="1"/>
        <v>10</v>
      </c>
      <c r="H26" s="36">
        <f t="shared" si="2"/>
        <v>9.8</v>
      </c>
      <c r="I26" s="3">
        <f t="shared" si="3"/>
        <v>1</v>
      </c>
      <c r="J26" s="36">
        <f t="shared" si="4"/>
        <v>9.9</v>
      </c>
      <c r="K26" s="3">
        <f t="shared" si="5"/>
        <v>10</v>
      </c>
      <c r="L26" s="3">
        <f t="shared" si="6"/>
        <v>10</v>
      </c>
      <c r="M26" s="36">
        <f t="shared" si="7"/>
        <v>9.06</v>
      </c>
      <c r="N26" s="36">
        <f>IFERROR(__xludf.DUMMYFUNCTION("IF(A26="""","""",RANK(M26,FILTER($M$11:$M$100,$A$11:$A$100&lt;&gt;""""),0))"),5.0)</f>
        <v>5</v>
      </c>
      <c r="O26" s="36" t="str">
        <f t="shared" si="8"/>
        <v>DO NOW</v>
      </c>
      <c r="P26" s="36" t="str">
        <f t="shared" si="9"/>
        <v>NONE</v>
      </c>
      <c r="R26" s="36">
        <f t="shared" si="10"/>
        <v>0</v>
      </c>
      <c r="S26" s="36">
        <f t="shared" si="11"/>
        <v>0</v>
      </c>
      <c r="T26" s="36">
        <f>IFERROR(__xludf.DUMMYFUNCTION("IF(A26="""","""",RANK(F26,FILTER($F$11:$F$100,$A$11:$A$100&lt;&gt;""""),0))"),7.0)</f>
        <v>7</v>
      </c>
      <c r="U26" s="36">
        <f>IFERROR(__xludf.DUMMYFUNCTION("IF(A26="""","""",RANK(
(F26*0.5+K26*0.5),
FILTER($F$11:$F$100*0.5+$K$11:$K$100*0.5,$A$11:$A$100&lt;&gt;""""),
0))"),4.0)</f>
        <v>4</v>
      </c>
      <c r="V26" s="36">
        <f>IFERROR(__xludf.DUMMYFUNCTION("IF(A26="""","""",RANK(
(F26*0.65+L26*0.35),
FILTER($F$11:$F$100*0.65+$L$11:$L$100*0.35,$A$11:$A$100&lt;&gt;""""),
0))"),7.0)</f>
        <v>7</v>
      </c>
    </row>
    <row r="27">
      <c r="A27" s="3" t="s">
        <v>753</v>
      </c>
      <c r="B27" s="95" t="s">
        <v>517</v>
      </c>
      <c r="C27" s="95" t="s">
        <v>710</v>
      </c>
      <c r="D27" s="55">
        <v>3000.0</v>
      </c>
      <c r="E27" s="3">
        <v>1.0</v>
      </c>
      <c r="F27" s="3">
        <v>10.0</v>
      </c>
      <c r="G27" s="36">
        <f t="shared" si="1"/>
        <v>1</v>
      </c>
      <c r="H27" s="36">
        <f t="shared" si="2"/>
        <v>9.8</v>
      </c>
      <c r="I27" s="3">
        <f t="shared" si="3"/>
        <v>5.2</v>
      </c>
      <c r="J27" s="36">
        <f t="shared" si="4"/>
        <v>5.1</v>
      </c>
      <c r="K27" s="3">
        <f t="shared" si="5"/>
        <v>6.6</v>
      </c>
      <c r="L27" s="3">
        <f t="shared" si="6"/>
        <v>9.4</v>
      </c>
      <c r="M27" s="36">
        <f t="shared" si="7"/>
        <v>7.41</v>
      </c>
      <c r="N27" s="36">
        <f>IFERROR(__xludf.DUMMYFUNCTION("IF(A27="""","""",RANK(M27,FILTER($M$11:$M$100,$A$11:$A$100&lt;&gt;""""),0))"),17.0)</f>
        <v>17</v>
      </c>
      <c r="O27" s="36" t="str">
        <f t="shared" si="8"/>
        <v>PARK</v>
      </c>
      <c r="P27" s="36" t="str">
        <f t="shared" si="9"/>
        <v>MONEY</v>
      </c>
      <c r="R27" s="36">
        <f t="shared" si="10"/>
        <v>2700</v>
      </c>
      <c r="S27" s="36">
        <f t="shared" si="11"/>
        <v>39</v>
      </c>
      <c r="T27" s="36">
        <f>IFERROR(__xludf.DUMMYFUNCTION("IF(A27="""","""",RANK(F27,FILTER($F$11:$F$100,$A$11:$A$100&lt;&gt;""""),0))"),1.0)</f>
        <v>1</v>
      </c>
      <c r="U27" s="36">
        <f>IFERROR(__xludf.DUMMYFUNCTION("IF(A27="""","""",RANK(
(F27*0.5+K27*0.5),
FILTER($F$11:$F$100*0.5+$K$11:$K$100*0.5,$A$11:$A$100&lt;&gt;""""),
0))"),12.0)</f>
        <v>12</v>
      </c>
      <c r="V27" s="36">
        <f>IFERROR(__xludf.DUMMYFUNCTION("IF(A27="""","""",RANK(
(F27*0.65+L27*0.35),
FILTER($F$11:$F$100*0.65+$L$11:$L$100*0.35,$A$11:$A$100&lt;&gt;""""),
0))"),3.0)</f>
        <v>3</v>
      </c>
    </row>
    <row r="28">
      <c r="A28" s="3" t="s">
        <v>760</v>
      </c>
      <c r="B28" s="95" t="s">
        <v>686</v>
      </c>
      <c r="C28" s="95" t="s">
        <v>518</v>
      </c>
      <c r="D28" s="55">
        <v>0.0</v>
      </c>
      <c r="E28" s="3">
        <v>1.0</v>
      </c>
      <c r="F28" s="3">
        <v>9.0</v>
      </c>
      <c r="G28" s="36">
        <f t="shared" si="1"/>
        <v>10</v>
      </c>
      <c r="H28" s="36">
        <f t="shared" si="2"/>
        <v>9.8</v>
      </c>
      <c r="I28" s="3">
        <f t="shared" si="3"/>
        <v>1.4</v>
      </c>
      <c r="J28" s="36">
        <f t="shared" si="4"/>
        <v>9.8</v>
      </c>
      <c r="K28" s="3">
        <f t="shared" si="5"/>
        <v>10</v>
      </c>
      <c r="L28" s="3">
        <f t="shared" si="6"/>
        <v>10</v>
      </c>
      <c r="M28" s="36">
        <f t="shared" si="7"/>
        <v>9.41</v>
      </c>
      <c r="N28" s="36">
        <f>IFERROR(__xludf.DUMMYFUNCTION("IF(A28="""","""",RANK(M28,FILTER($M$11:$M$100,$A$11:$A$100&lt;&gt;""""),0))"),2.0)</f>
        <v>2</v>
      </c>
      <c r="O28" s="36" t="str">
        <f t="shared" si="8"/>
        <v>DO NOW</v>
      </c>
      <c r="P28" s="36" t="str">
        <f t="shared" si="9"/>
        <v>NONE</v>
      </c>
      <c r="R28" s="36">
        <f t="shared" si="10"/>
        <v>0</v>
      </c>
      <c r="S28" s="36">
        <f t="shared" si="11"/>
        <v>0</v>
      </c>
      <c r="T28" s="36">
        <f>IFERROR(__xludf.DUMMYFUNCTION("IF(A28="""","""",RANK(F28,FILTER($F$11:$F$100,$A$11:$A$100&lt;&gt;""""),0))"),5.0)</f>
        <v>5</v>
      </c>
      <c r="U28" s="36">
        <f>IFERROR(__xludf.DUMMYFUNCTION("IF(A28="""","""",RANK(
(F28*0.5+K28*0.5),
FILTER($F$11:$F$100*0.5+$K$11:$K$100*0.5,$A$11:$A$100&lt;&gt;""""),
0))"),2.0)</f>
        <v>2</v>
      </c>
      <c r="V28" s="36">
        <f>IFERROR(__xludf.DUMMYFUNCTION("IF(A28="""","""",RANK(
(F28*0.65+L28*0.35),
FILTER($F$11:$F$100*0.65+$L$11:$L$100*0.35,$A$11:$A$100&lt;&gt;""""),
0))"),4.0)</f>
        <v>4</v>
      </c>
    </row>
    <row r="29">
      <c r="B29" s="36"/>
      <c r="C29" s="36"/>
      <c r="G29" s="36" t="str">
        <f t="shared" si="1"/>
        <v/>
      </c>
      <c r="H29" s="36" t="str">
        <f t="shared" si="2"/>
        <v/>
      </c>
      <c r="I29" s="3" t="str">
        <f t="shared" si="3"/>
        <v/>
      </c>
      <c r="J29" s="36" t="str">
        <f t="shared" si="4"/>
        <v/>
      </c>
      <c r="K29" s="3" t="str">
        <f t="shared" si="5"/>
        <v/>
      </c>
      <c r="L29" s="3" t="str">
        <f t="shared" si="6"/>
        <v/>
      </c>
      <c r="M29" s="36" t="str">
        <f t="shared" si="7"/>
        <v/>
      </c>
      <c r="N29" s="36" t="str">
        <f>IFERROR(__xludf.DUMMYFUNCTION("IF(A29="""","""",RANK(M29,FILTER($M$11:$M$100,$A$11:$A$100&lt;&gt;""""),0))"),"")</f>
        <v/>
      </c>
      <c r="O29" s="36" t="str">
        <f t="shared" si="8"/>
        <v/>
      </c>
      <c r="P29" s="36" t="str">
        <f t="shared" si="9"/>
        <v/>
      </c>
      <c r="R29" s="36" t="str">
        <f t="shared" si="10"/>
        <v/>
      </c>
      <c r="S29" s="36" t="str">
        <f t="shared" si="11"/>
        <v/>
      </c>
      <c r="T29" s="36" t="str">
        <f>IFERROR(__xludf.DUMMYFUNCTION("IF(A29="""","""",RANK(F29,FILTER($F$11:$F$100,$A$11:$A$100&lt;&gt;""""),0))"),"")</f>
        <v/>
      </c>
      <c r="U29" s="36" t="str">
        <f>IFERROR(__xludf.DUMMYFUNCTION("IF(A29="""","""",RANK(
(F29*0.5+K29*0.5),
FILTER($F$11:$F$100*0.5+$K$11:$K$100*0.5,$A$11:$A$100&lt;&gt;""""),
0))"),"")</f>
        <v/>
      </c>
      <c r="V29" s="36" t="str">
        <f>IFERROR(__xludf.DUMMYFUNCTION("IF(A29="""","""",RANK(
(F29*0.65+L29*0.35),
FILTER($F$11:$F$100*0.65+$L$11:$L$100*0.35,$A$11:$A$100&lt;&gt;""""),
0))"),"")</f>
        <v/>
      </c>
    </row>
    <row r="30">
      <c r="B30" s="36"/>
      <c r="C30" s="36"/>
      <c r="G30" s="36" t="str">
        <f t="shared" si="1"/>
        <v/>
      </c>
      <c r="H30" s="36" t="str">
        <f t="shared" si="2"/>
        <v/>
      </c>
      <c r="I30" s="3" t="str">
        <f t="shared" si="3"/>
        <v/>
      </c>
      <c r="J30" s="36" t="str">
        <f t="shared" si="4"/>
        <v/>
      </c>
      <c r="K30" s="3" t="str">
        <f t="shared" si="5"/>
        <v/>
      </c>
      <c r="L30" s="3" t="str">
        <f t="shared" si="6"/>
        <v/>
      </c>
      <c r="M30" s="36" t="str">
        <f t="shared" si="7"/>
        <v/>
      </c>
      <c r="N30" s="36" t="str">
        <f>IFERROR(__xludf.DUMMYFUNCTION("IF(A30="""","""",RANK(M30,FILTER($M$11:$M$100,$A$11:$A$100&lt;&gt;""""),0))"),"")</f>
        <v/>
      </c>
      <c r="O30" s="36" t="str">
        <f t="shared" si="8"/>
        <v/>
      </c>
      <c r="P30" s="36" t="str">
        <f t="shared" si="9"/>
        <v/>
      </c>
      <c r="R30" s="36" t="str">
        <f t="shared" si="10"/>
        <v/>
      </c>
      <c r="S30" s="36" t="str">
        <f t="shared" si="11"/>
        <v/>
      </c>
      <c r="T30" s="36" t="str">
        <f>IFERROR(__xludf.DUMMYFUNCTION("IF(A30="""","""",RANK(F30,FILTER($F$11:$F$100,$A$11:$A$100&lt;&gt;""""),0))"),"")</f>
        <v/>
      </c>
      <c r="U30" s="36" t="str">
        <f>IFERROR(__xludf.DUMMYFUNCTION("IF(A30="""","""",RANK(
(F30*0.5+K30*0.5),
FILTER($F$11:$F$100*0.5+$K$11:$K$100*0.5,$A$11:$A$100&lt;&gt;""""),
0))"),"")</f>
        <v/>
      </c>
      <c r="V30" s="36" t="str">
        <f>IFERROR(__xludf.DUMMYFUNCTION("IF(A30="""","""",RANK(
(F30*0.65+L30*0.35),
FILTER($F$11:$F$100*0.65+$L$11:$L$100*0.35,$A$11:$A$100&lt;&gt;""""),
0))"),"")</f>
        <v/>
      </c>
    </row>
    <row r="31">
      <c r="B31" s="36"/>
      <c r="C31" s="36"/>
      <c r="G31" s="36" t="str">
        <f t="shared" si="1"/>
        <v/>
      </c>
      <c r="H31" s="36" t="str">
        <f t="shared" si="2"/>
        <v/>
      </c>
      <c r="I31" s="3" t="str">
        <f t="shared" si="3"/>
        <v/>
      </c>
      <c r="J31" s="36" t="str">
        <f t="shared" si="4"/>
        <v/>
      </c>
      <c r="K31" s="3" t="str">
        <f t="shared" si="5"/>
        <v/>
      </c>
      <c r="L31" s="3" t="str">
        <f t="shared" si="6"/>
        <v/>
      </c>
      <c r="M31" s="36" t="str">
        <f t="shared" si="7"/>
        <v/>
      </c>
      <c r="N31" s="36" t="str">
        <f>IFERROR(__xludf.DUMMYFUNCTION("IF(A31="""","""",RANK(M31,FILTER($M$11:$M$100,$A$11:$A$100&lt;&gt;""""),0))"),"")</f>
        <v/>
      </c>
      <c r="O31" s="36" t="str">
        <f t="shared" si="8"/>
        <v/>
      </c>
      <c r="P31" s="36" t="str">
        <f t="shared" si="9"/>
        <v/>
      </c>
      <c r="R31" s="36" t="str">
        <f t="shared" si="10"/>
        <v/>
      </c>
      <c r="S31" s="36" t="str">
        <f t="shared" si="11"/>
        <v/>
      </c>
      <c r="T31" s="36" t="str">
        <f>IFERROR(__xludf.DUMMYFUNCTION("IF(A31="""","""",RANK(F31,FILTER($F$11:$F$100,$A$11:$A$100&lt;&gt;""""),0))"),"")</f>
        <v/>
      </c>
      <c r="U31" s="36" t="str">
        <f>IFERROR(__xludf.DUMMYFUNCTION("IF(A31="""","""",RANK(
(F31*0.5+K31*0.5),
FILTER($F$11:$F$100*0.5+$K$11:$K$100*0.5,$A$11:$A$100&lt;&gt;""""),
0))"),"")</f>
        <v/>
      </c>
      <c r="V31" s="36" t="str">
        <f>IFERROR(__xludf.DUMMYFUNCTION("IF(A31="""","""",RANK(
(F31*0.65+L31*0.35),
FILTER($F$11:$F$100*0.65+$L$11:$L$100*0.35,$A$11:$A$100&lt;&gt;""""),
0))"),"")</f>
        <v/>
      </c>
    </row>
    <row r="32">
      <c r="B32" s="36"/>
      <c r="C32" s="36"/>
      <c r="G32" s="36" t="str">
        <f t="shared" si="1"/>
        <v/>
      </c>
      <c r="H32" s="36" t="str">
        <f t="shared" si="2"/>
        <v/>
      </c>
      <c r="I32" s="3" t="str">
        <f t="shared" si="3"/>
        <v/>
      </c>
      <c r="J32" s="36" t="str">
        <f t="shared" si="4"/>
        <v/>
      </c>
      <c r="K32" s="3" t="str">
        <f t="shared" si="5"/>
        <v/>
      </c>
      <c r="L32" s="3" t="str">
        <f t="shared" si="6"/>
        <v/>
      </c>
      <c r="M32" s="36" t="str">
        <f t="shared" si="7"/>
        <v/>
      </c>
      <c r="N32" s="36" t="str">
        <f>IFERROR(__xludf.DUMMYFUNCTION("IF(A32="""","""",RANK(M32,FILTER($M$11:$M$100,$A$11:$A$100&lt;&gt;""""),0))"),"")</f>
        <v/>
      </c>
      <c r="O32" s="36" t="str">
        <f t="shared" si="8"/>
        <v/>
      </c>
      <c r="P32" s="36" t="str">
        <f t="shared" si="9"/>
        <v/>
      </c>
      <c r="R32" s="36" t="str">
        <f t="shared" si="10"/>
        <v/>
      </c>
      <c r="S32" s="36" t="str">
        <f t="shared" si="11"/>
        <v/>
      </c>
      <c r="T32" s="36" t="str">
        <f>IFERROR(__xludf.DUMMYFUNCTION("IF(A32="""","""",RANK(F32,FILTER($F$11:$F$100,$A$11:$A$100&lt;&gt;""""),0))"),"")</f>
        <v/>
      </c>
      <c r="U32" s="36" t="str">
        <f>IFERROR(__xludf.DUMMYFUNCTION("IF(A32="""","""",RANK(
(F32*0.5+K32*0.5),
FILTER($F$11:$F$100*0.5+$K$11:$K$100*0.5,$A$11:$A$100&lt;&gt;""""),
0))"),"")</f>
        <v/>
      </c>
      <c r="V32" s="36" t="str">
        <f>IFERROR(__xludf.DUMMYFUNCTION("IF(A32="""","""",RANK(
(F32*0.65+L32*0.35),
FILTER($F$11:$F$100*0.65+$L$11:$L$100*0.35,$A$11:$A$100&lt;&gt;""""),
0))"),"")</f>
        <v/>
      </c>
    </row>
    <row r="33">
      <c r="B33" s="36"/>
      <c r="C33" s="36"/>
      <c r="G33" s="36" t="str">
        <f t="shared" si="1"/>
        <v/>
      </c>
      <c r="H33" s="36" t="str">
        <f t="shared" si="2"/>
        <v/>
      </c>
      <c r="I33" s="3" t="str">
        <f t="shared" si="3"/>
        <v/>
      </c>
      <c r="J33" s="36" t="str">
        <f t="shared" si="4"/>
        <v/>
      </c>
      <c r="K33" s="3" t="str">
        <f t="shared" si="5"/>
        <v/>
      </c>
      <c r="L33" s="3" t="str">
        <f t="shared" si="6"/>
        <v/>
      </c>
      <c r="M33" s="36" t="str">
        <f t="shared" si="7"/>
        <v/>
      </c>
      <c r="N33" s="36" t="str">
        <f>IFERROR(__xludf.DUMMYFUNCTION("IF(A33="""","""",RANK(M33,FILTER($M$11:$M$100,$A$11:$A$100&lt;&gt;""""),0))"),"")</f>
        <v/>
      </c>
      <c r="O33" s="36" t="str">
        <f t="shared" si="8"/>
        <v/>
      </c>
      <c r="P33" s="36" t="str">
        <f t="shared" si="9"/>
        <v/>
      </c>
      <c r="R33" s="36" t="str">
        <f t="shared" si="10"/>
        <v/>
      </c>
      <c r="S33" s="36" t="str">
        <f t="shared" si="11"/>
        <v/>
      </c>
      <c r="T33" s="36" t="str">
        <f>IFERROR(__xludf.DUMMYFUNCTION("IF(A33="""","""",RANK(F33,FILTER($F$11:$F$100,$A$11:$A$100&lt;&gt;""""),0))"),"")</f>
        <v/>
      </c>
      <c r="U33" s="36" t="str">
        <f>IFERROR(__xludf.DUMMYFUNCTION("IF(A33="""","""",RANK(
(F33*0.5+K33*0.5),
FILTER($F$11:$F$100*0.5+$K$11:$K$100*0.5,$A$11:$A$100&lt;&gt;""""),
0))"),"")</f>
        <v/>
      </c>
      <c r="V33" s="36" t="str">
        <f>IFERROR(__xludf.DUMMYFUNCTION("IF(A33="""","""",RANK(
(F33*0.65+L33*0.35),
FILTER($F$11:$F$100*0.65+$L$11:$L$100*0.35,$A$11:$A$100&lt;&gt;""""),
0))"),"")</f>
        <v/>
      </c>
    </row>
    <row r="34">
      <c r="B34" s="36"/>
      <c r="C34" s="36"/>
      <c r="G34" s="36" t="str">
        <f t="shared" si="1"/>
        <v/>
      </c>
      <c r="H34" s="36" t="str">
        <f t="shared" si="2"/>
        <v/>
      </c>
      <c r="I34" s="3" t="str">
        <f t="shared" si="3"/>
        <v/>
      </c>
      <c r="J34" s="36" t="str">
        <f t="shared" si="4"/>
        <v/>
      </c>
      <c r="K34" s="3" t="str">
        <f t="shared" si="5"/>
        <v/>
      </c>
      <c r="L34" s="3" t="str">
        <f t="shared" si="6"/>
        <v/>
      </c>
      <c r="M34" s="36" t="str">
        <f t="shared" si="7"/>
        <v/>
      </c>
      <c r="N34" s="36" t="str">
        <f>IFERROR(__xludf.DUMMYFUNCTION("IF(A34="""","""",RANK(M34,FILTER($M$11:$M$100,$A$11:$A$100&lt;&gt;""""),0))"),"")</f>
        <v/>
      </c>
      <c r="O34" s="36" t="str">
        <f t="shared" si="8"/>
        <v/>
      </c>
      <c r="P34" s="36" t="str">
        <f t="shared" si="9"/>
        <v/>
      </c>
      <c r="R34" s="36" t="str">
        <f t="shared" si="10"/>
        <v/>
      </c>
      <c r="S34" s="36" t="str">
        <f t="shared" si="11"/>
        <v/>
      </c>
      <c r="T34" s="36" t="str">
        <f>IFERROR(__xludf.DUMMYFUNCTION("IF(A34="""","""",RANK(F34,FILTER($F$11:$F$100,$A$11:$A$100&lt;&gt;""""),0))"),"")</f>
        <v/>
      </c>
      <c r="U34" s="36" t="str">
        <f>IFERROR(__xludf.DUMMYFUNCTION("IF(A34="""","""",RANK(
(F34*0.5+K34*0.5),
FILTER($F$11:$F$100*0.5+$K$11:$K$100*0.5,$A$11:$A$100&lt;&gt;""""),
0))"),"")</f>
        <v/>
      </c>
      <c r="V34" s="36" t="str">
        <f>IFERROR(__xludf.DUMMYFUNCTION("IF(A34="""","""",RANK(
(F34*0.65+L34*0.35),
FILTER($F$11:$F$100*0.65+$L$11:$L$100*0.35,$A$11:$A$100&lt;&gt;""""),
0))"),"")</f>
        <v/>
      </c>
    </row>
    <row r="35">
      <c r="B35" s="36"/>
      <c r="C35" s="36"/>
      <c r="G35" s="36" t="str">
        <f t="shared" si="1"/>
        <v/>
      </c>
      <c r="H35" s="36" t="str">
        <f t="shared" si="2"/>
        <v/>
      </c>
      <c r="I35" s="3" t="str">
        <f t="shared" si="3"/>
        <v/>
      </c>
      <c r="J35" s="36" t="str">
        <f t="shared" si="4"/>
        <v/>
      </c>
      <c r="K35" s="3" t="str">
        <f t="shared" si="5"/>
        <v/>
      </c>
      <c r="L35" s="3" t="str">
        <f t="shared" si="6"/>
        <v/>
      </c>
      <c r="M35" s="36" t="str">
        <f t="shared" si="7"/>
        <v/>
      </c>
      <c r="N35" s="36" t="str">
        <f>IFERROR(__xludf.DUMMYFUNCTION("IF(A35="""","""",RANK(M35,FILTER($M$11:$M$100,$A$11:$A$100&lt;&gt;""""),0))"),"")</f>
        <v/>
      </c>
      <c r="O35" s="36" t="str">
        <f t="shared" si="8"/>
        <v/>
      </c>
      <c r="P35" s="36" t="str">
        <f t="shared" si="9"/>
        <v/>
      </c>
      <c r="R35" s="36" t="str">
        <f t="shared" si="10"/>
        <v/>
      </c>
      <c r="S35" s="36" t="str">
        <f t="shared" si="11"/>
        <v/>
      </c>
      <c r="T35" s="36" t="str">
        <f>IFERROR(__xludf.DUMMYFUNCTION("IF(A35="""","""",RANK(F35,FILTER($F$11:$F$100,$A$11:$A$100&lt;&gt;""""),0))"),"")</f>
        <v/>
      </c>
      <c r="U35" s="36" t="str">
        <f>IFERROR(__xludf.DUMMYFUNCTION("IF(A35="""","""",RANK(
(F35*0.5+K35*0.5),
FILTER($F$11:$F$100*0.5+$K$11:$K$100*0.5,$A$11:$A$100&lt;&gt;""""),
0))"),"")</f>
        <v/>
      </c>
      <c r="V35" s="36" t="str">
        <f>IFERROR(__xludf.DUMMYFUNCTION("IF(A35="""","""",RANK(
(F35*0.65+L35*0.35),
FILTER($F$11:$F$100*0.65+$L$11:$L$100*0.35,$A$11:$A$100&lt;&gt;""""),
0))"),"")</f>
        <v/>
      </c>
    </row>
    <row r="36">
      <c r="B36" s="36"/>
      <c r="C36" s="36"/>
      <c r="G36" s="36" t="str">
        <f t="shared" si="1"/>
        <v/>
      </c>
      <c r="H36" s="36" t="str">
        <f t="shared" si="2"/>
        <v/>
      </c>
      <c r="I36" s="3" t="str">
        <f t="shared" si="3"/>
        <v/>
      </c>
      <c r="J36" s="36" t="str">
        <f t="shared" si="4"/>
        <v/>
      </c>
      <c r="K36" s="3" t="str">
        <f t="shared" si="5"/>
        <v/>
      </c>
      <c r="L36" s="3" t="str">
        <f t="shared" si="6"/>
        <v/>
      </c>
      <c r="M36" s="36" t="str">
        <f t="shared" si="7"/>
        <v/>
      </c>
      <c r="N36" s="36" t="str">
        <f>IFERROR(__xludf.DUMMYFUNCTION("IF(A36="""","""",RANK(M36,FILTER($M$11:$M$100,$A$11:$A$100&lt;&gt;""""),0))"),"")</f>
        <v/>
      </c>
      <c r="O36" s="36" t="str">
        <f t="shared" si="8"/>
        <v/>
      </c>
      <c r="P36" s="36" t="str">
        <f t="shared" si="9"/>
        <v/>
      </c>
      <c r="R36" s="36" t="str">
        <f t="shared" si="10"/>
        <v/>
      </c>
      <c r="S36" s="36" t="str">
        <f t="shared" si="11"/>
        <v/>
      </c>
      <c r="T36" s="36" t="str">
        <f>IFERROR(__xludf.DUMMYFUNCTION("IF(A36="""","""",RANK(F36,FILTER($F$11:$F$100,$A$11:$A$100&lt;&gt;""""),0))"),"")</f>
        <v/>
      </c>
      <c r="U36" s="36" t="str">
        <f>IFERROR(__xludf.DUMMYFUNCTION("IF(A36="""","""",RANK(
(F36*0.5+K36*0.5),
FILTER($F$11:$F$100*0.5+$K$11:$K$100*0.5,$A$11:$A$100&lt;&gt;""""),
0))"),"")</f>
        <v/>
      </c>
      <c r="V36" s="36" t="str">
        <f>IFERROR(__xludf.DUMMYFUNCTION("IF(A36="""","""",RANK(
(F36*0.65+L36*0.35),
FILTER($F$11:$F$100*0.65+$L$11:$L$100*0.35,$A$11:$A$100&lt;&gt;""""),
0))"),"")</f>
        <v/>
      </c>
    </row>
    <row r="37">
      <c r="B37" s="36"/>
      <c r="C37" s="36"/>
      <c r="G37" s="36" t="str">
        <f t="shared" si="1"/>
        <v/>
      </c>
      <c r="H37" s="36" t="str">
        <f t="shared" si="2"/>
        <v/>
      </c>
      <c r="I37" s="3" t="str">
        <f t="shared" si="3"/>
        <v/>
      </c>
      <c r="J37" s="36" t="str">
        <f t="shared" si="4"/>
        <v/>
      </c>
      <c r="K37" s="3" t="str">
        <f t="shared" si="5"/>
        <v/>
      </c>
      <c r="L37" s="3" t="str">
        <f t="shared" si="6"/>
        <v/>
      </c>
      <c r="M37" s="36" t="str">
        <f t="shared" si="7"/>
        <v/>
      </c>
      <c r="N37" s="36" t="str">
        <f>IFERROR(__xludf.DUMMYFUNCTION("IF(A37="""","""",RANK(M37,FILTER($M$11:$M$100,$A$11:$A$100&lt;&gt;""""),0))"),"")</f>
        <v/>
      </c>
      <c r="O37" s="36" t="str">
        <f t="shared" si="8"/>
        <v/>
      </c>
      <c r="P37" s="36" t="str">
        <f t="shared" si="9"/>
        <v/>
      </c>
      <c r="R37" s="36" t="str">
        <f t="shared" si="10"/>
        <v/>
      </c>
      <c r="S37" s="36" t="str">
        <f t="shared" si="11"/>
        <v/>
      </c>
      <c r="T37" s="36" t="str">
        <f>IFERROR(__xludf.DUMMYFUNCTION("IF(A37="""","""",RANK(F37,FILTER($F$11:$F$100,$A$11:$A$100&lt;&gt;""""),0))"),"")</f>
        <v/>
      </c>
      <c r="U37" s="36" t="str">
        <f>IFERROR(__xludf.DUMMYFUNCTION("IF(A37="""","""",RANK(
(F37*0.5+K37*0.5),
FILTER($F$11:$F$100*0.5+$K$11:$K$100*0.5,$A$11:$A$100&lt;&gt;""""),
0))"),"")</f>
        <v/>
      </c>
      <c r="V37" s="36" t="str">
        <f>IFERROR(__xludf.DUMMYFUNCTION("IF(A37="""","""",RANK(
(F37*0.65+L37*0.35),
FILTER($F$11:$F$100*0.65+$L$11:$L$100*0.35,$A$11:$A$100&lt;&gt;""""),
0))"),"")</f>
        <v/>
      </c>
    </row>
    <row r="38">
      <c r="B38" s="36"/>
      <c r="C38" s="36"/>
      <c r="G38" s="36" t="str">
        <f t="shared" si="1"/>
        <v/>
      </c>
      <c r="H38" s="36" t="str">
        <f t="shared" si="2"/>
        <v/>
      </c>
      <c r="I38" s="3" t="str">
        <f t="shared" si="3"/>
        <v/>
      </c>
      <c r="J38" s="36" t="str">
        <f t="shared" si="4"/>
        <v/>
      </c>
      <c r="K38" s="3" t="str">
        <f t="shared" si="5"/>
        <v/>
      </c>
      <c r="L38" s="3" t="str">
        <f t="shared" si="6"/>
        <v/>
      </c>
      <c r="M38" s="36" t="str">
        <f t="shared" si="7"/>
        <v/>
      </c>
      <c r="N38" s="36" t="str">
        <f>IFERROR(__xludf.DUMMYFUNCTION("IF(A38="""","""",RANK(M38,FILTER($M$11:$M$100,$A$11:$A$100&lt;&gt;""""),0))"),"")</f>
        <v/>
      </c>
      <c r="O38" s="36" t="str">
        <f t="shared" si="8"/>
        <v/>
      </c>
      <c r="P38" s="36" t="str">
        <f t="shared" si="9"/>
        <v/>
      </c>
      <c r="R38" s="36" t="str">
        <f t="shared" si="10"/>
        <v/>
      </c>
      <c r="S38" s="36" t="str">
        <f t="shared" si="11"/>
        <v/>
      </c>
      <c r="T38" s="36" t="str">
        <f>IFERROR(__xludf.DUMMYFUNCTION("IF(A38="""","""",RANK(F38,FILTER($F$11:$F$100,$A$11:$A$100&lt;&gt;""""),0))"),"")</f>
        <v/>
      </c>
      <c r="U38" s="36" t="str">
        <f>IFERROR(__xludf.DUMMYFUNCTION("IF(A38="""","""",RANK(
(F38*0.5+K38*0.5),
FILTER($F$11:$F$100*0.5+$K$11:$K$100*0.5,$A$11:$A$100&lt;&gt;""""),
0))"),"")</f>
        <v/>
      </c>
      <c r="V38" s="36" t="str">
        <f>IFERROR(__xludf.DUMMYFUNCTION("IF(A38="""","""",RANK(
(F38*0.65+L38*0.35),
FILTER($F$11:$F$100*0.65+$L$11:$L$100*0.35,$A$11:$A$100&lt;&gt;""""),
0))"),"")</f>
        <v/>
      </c>
    </row>
    <row r="39">
      <c r="B39" s="36"/>
      <c r="C39" s="36"/>
      <c r="G39" s="36" t="str">
        <f t="shared" si="1"/>
        <v/>
      </c>
      <c r="H39" s="36" t="str">
        <f t="shared" si="2"/>
        <v/>
      </c>
      <c r="I39" s="3" t="str">
        <f t="shared" si="3"/>
        <v/>
      </c>
      <c r="J39" s="36" t="str">
        <f t="shared" si="4"/>
        <v/>
      </c>
      <c r="K39" s="3" t="str">
        <f t="shared" si="5"/>
        <v/>
      </c>
      <c r="L39" s="3" t="str">
        <f t="shared" si="6"/>
        <v/>
      </c>
      <c r="M39" s="36" t="str">
        <f t="shared" si="7"/>
        <v/>
      </c>
      <c r="N39" s="36" t="str">
        <f>IFERROR(__xludf.DUMMYFUNCTION("IF(A39="""","""",RANK(M39,FILTER($M$11:$M$100,$A$11:$A$100&lt;&gt;""""),0))"),"")</f>
        <v/>
      </c>
      <c r="O39" s="36" t="str">
        <f t="shared" si="8"/>
        <v/>
      </c>
      <c r="P39" s="36" t="str">
        <f t="shared" si="9"/>
        <v/>
      </c>
      <c r="R39" s="36" t="str">
        <f t="shared" si="10"/>
        <v/>
      </c>
      <c r="S39" s="36" t="str">
        <f t="shared" si="11"/>
        <v/>
      </c>
      <c r="T39" s="36" t="str">
        <f>IFERROR(__xludf.DUMMYFUNCTION("IF(A39="""","""",RANK(F39,FILTER($F$11:$F$100,$A$11:$A$100&lt;&gt;""""),0))"),"")</f>
        <v/>
      </c>
      <c r="U39" s="36" t="str">
        <f>IFERROR(__xludf.DUMMYFUNCTION("IF(A39="""","""",RANK(
(F39*0.5+K39*0.5),
FILTER($F$11:$F$100*0.5+$K$11:$K$100*0.5,$A$11:$A$100&lt;&gt;""""),
0))"),"")</f>
        <v/>
      </c>
      <c r="V39" s="36" t="str">
        <f>IFERROR(__xludf.DUMMYFUNCTION("IF(A39="""","""",RANK(
(F39*0.65+L39*0.35),
FILTER($F$11:$F$100*0.65+$L$11:$L$100*0.35,$A$11:$A$100&lt;&gt;""""),
0))"),"")</f>
        <v/>
      </c>
    </row>
    <row r="40">
      <c r="B40" s="36"/>
      <c r="C40" s="36"/>
      <c r="G40" s="36" t="str">
        <f t="shared" si="1"/>
        <v/>
      </c>
      <c r="H40" s="36" t="str">
        <f t="shared" si="2"/>
        <v/>
      </c>
      <c r="I40" s="3" t="str">
        <f t="shared" si="3"/>
        <v/>
      </c>
      <c r="J40" s="36" t="str">
        <f t="shared" si="4"/>
        <v/>
      </c>
      <c r="K40" s="3" t="str">
        <f t="shared" si="5"/>
        <v/>
      </c>
      <c r="L40" s="3" t="str">
        <f t="shared" si="6"/>
        <v/>
      </c>
      <c r="M40" s="36" t="str">
        <f t="shared" si="7"/>
        <v/>
      </c>
      <c r="N40" s="36" t="str">
        <f>IFERROR(__xludf.DUMMYFUNCTION("IF(A40="""","""",RANK(M40,FILTER($M$11:$M$100,$A$11:$A$100&lt;&gt;""""),0))"),"")</f>
        <v/>
      </c>
      <c r="O40" s="36" t="str">
        <f t="shared" si="8"/>
        <v/>
      </c>
      <c r="P40" s="36" t="str">
        <f t="shared" si="9"/>
        <v/>
      </c>
      <c r="R40" s="36" t="str">
        <f t="shared" si="10"/>
        <v/>
      </c>
      <c r="S40" s="36" t="str">
        <f t="shared" si="11"/>
        <v/>
      </c>
      <c r="T40" s="36" t="str">
        <f>IFERROR(__xludf.DUMMYFUNCTION("IF(A40="""","""",RANK(F40,FILTER($F$11:$F$100,$A$11:$A$100&lt;&gt;""""),0))"),"")</f>
        <v/>
      </c>
      <c r="U40" s="36" t="str">
        <f>IFERROR(__xludf.DUMMYFUNCTION("IF(A40="""","""",RANK(
(F40*0.5+K40*0.5),
FILTER($F$11:$F$100*0.5+$K$11:$K$100*0.5,$A$11:$A$100&lt;&gt;""""),
0))"),"")</f>
        <v/>
      </c>
      <c r="V40" s="36" t="str">
        <f>IFERROR(__xludf.DUMMYFUNCTION("IF(A40="""","""",RANK(
(F40*0.65+L40*0.35),
FILTER($F$11:$F$100*0.65+$L$11:$L$100*0.35,$A$11:$A$100&lt;&gt;""""),
0))"),"")</f>
        <v/>
      </c>
    </row>
    <row r="41">
      <c r="B41" s="36"/>
      <c r="C41" s="36"/>
      <c r="G41" s="36" t="str">
        <f t="shared" si="1"/>
        <v/>
      </c>
      <c r="H41" s="36" t="str">
        <f t="shared" si="2"/>
        <v/>
      </c>
      <c r="I41" s="3" t="str">
        <f t="shared" si="3"/>
        <v/>
      </c>
      <c r="J41" s="36" t="str">
        <f t="shared" si="4"/>
        <v/>
      </c>
      <c r="K41" s="3" t="str">
        <f t="shared" si="5"/>
        <v/>
      </c>
      <c r="L41" s="3" t="str">
        <f t="shared" si="6"/>
        <v/>
      </c>
      <c r="M41" s="36" t="str">
        <f t="shared" si="7"/>
        <v/>
      </c>
      <c r="N41" s="36" t="str">
        <f>IFERROR(__xludf.DUMMYFUNCTION("IF(A41="""","""",RANK(M41,FILTER($M$11:$M$100,$A$11:$A$100&lt;&gt;""""),0))"),"")</f>
        <v/>
      </c>
      <c r="O41" s="36" t="str">
        <f t="shared" si="8"/>
        <v/>
      </c>
      <c r="P41" s="36" t="str">
        <f t="shared" si="9"/>
        <v/>
      </c>
      <c r="R41" s="36" t="str">
        <f t="shared" si="10"/>
        <v/>
      </c>
      <c r="S41" s="36" t="str">
        <f t="shared" si="11"/>
        <v/>
      </c>
      <c r="T41" s="36" t="str">
        <f>IFERROR(__xludf.DUMMYFUNCTION("IF(A41="""","""",RANK(F41,FILTER($F$11:$F$100,$A$11:$A$100&lt;&gt;""""),0))"),"")</f>
        <v/>
      </c>
      <c r="U41" s="36" t="str">
        <f>IFERROR(__xludf.DUMMYFUNCTION("IF(A41="""","""",RANK(
(F41*0.5+K41*0.5),
FILTER($F$11:$F$100*0.5+$K$11:$K$100*0.5,$A$11:$A$100&lt;&gt;""""),
0))"),"")</f>
        <v/>
      </c>
      <c r="V41" s="36" t="str">
        <f>IFERROR(__xludf.DUMMYFUNCTION("IF(A41="""","""",RANK(
(F41*0.65+L41*0.35),
FILTER($F$11:$F$100*0.65+$L$11:$L$100*0.35,$A$11:$A$100&lt;&gt;""""),
0))"),"")</f>
        <v/>
      </c>
    </row>
    <row r="42">
      <c r="B42" s="36"/>
      <c r="C42" s="36"/>
      <c r="G42" s="36" t="str">
        <f t="shared" si="1"/>
        <v/>
      </c>
      <c r="H42" s="36" t="str">
        <f t="shared" si="2"/>
        <v/>
      </c>
      <c r="I42" s="3" t="str">
        <f t="shared" si="3"/>
        <v/>
      </c>
      <c r="J42" s="36" t="str">
        <f t="shared" si="4"/>
        <v/>
      </c>
      <c r="K42" s="3" t="str">
        <f t="shared" si="5"/>
        <v/>
      </c>
      <c r="L42" s="3" t="str">
        <f t="shared" si="6"/>
        <v/>
      </c>
      <c r="M42" s="36" t="str">
        <f t="shared" si="7"/>
        <v/>
      </c>
      <c r="N42" s="36" t="str">
        <f>IFERROR(__xludf.DUMMYFUNCTION("IF(A42="""","""",RANK(M42,FILTER($M$11:$M$100,$A$11:$A$100&lt;&gt;""""),0))"),"")</f>
        <v/>
      </c>
      <c r="O42" s="36" t="str">
        <f t="shared" si="8"/>
        <v/>
      </c>
      <c r="P42" s="36" t="str">
        <f t="shared" si="9"/>
        <v/>
      </c>
      <c r="R42" s="36" t="str">
        <f t="shared" si="10"/>
        <v/>
      </c>
      <c r="S42" s="36" t="str">
        <f t="shared" si="11"/>
        <v/>
      </c>
      <c r="T42" s="36" t="str">
        <f>IFERROR(__xludf.DUMMYFUNCTION("IF(A42="""","""",RANK(F42,FILTER($F$11:$F$100,$A$11:$A$100&lt;&gt;""""),0))"),"")</f>
        <v/>
      </c>
      <c r="U42" s="36" t="str">
        <f>IFERROR(__xludf.DUMMYFUNCTION("IF(A42="""","""",RANK(
(F42*0.5+K42*0.5),
FILTER($F$11:$F$100*0.5+$K$11:$K$100*0.5,$A$11:$A$100&lt;&gt;""""),
0))"),"")</f>
        <v/>
      </c>
      <c r="V42" s="36" t="str">
        <f>IFERROR(__xludf.DUMMYFUNCTION("IF(A42="""","""",RANK(
(F42*0.65+L42*0.35),
FILTER($F$11:$F$100*0.65+$L$11:$L$100*0.35,$A$11:$A$100&lt;&gt;""""),
0))"),"")</f>
        <v/>
      </c>
    </row>
    <row r="43">
      <c r="B43" s="36"/>
      <c r="C43" s="36"/>
      <c r="G43" s="36" t="str">
        <f t="shared" si="1"/>
        <v/>
      </c>
      <c r="H43" s="36" t="str">
        <f t="shared" si="2"/>
        <v/>
      </c>
      <c r="I43" s="3" t="str">
        <f t="shared" si="3"/>
        <v/>
      </c>
      <c r="J43" s="36" t="str">
        <f t="shared" si="4"/>
        <v/>
      </c>
      <c r="K43" s="3" t="str">
        <f t="shared" si="5"/>
        <v/>
      </c>
      <c r="L43" s="3" t="str">
        <f t="shared" si="6"/>
        <v/>
      </c>
      <c r="M43" s="36" t="str">
        <f t="shared" si="7"/>
        <v/>
      </c>
      <c r="N43" s="36" t="str">
        <f>IFERROR(__xludf.DUMMYFUNCTION("IF(A43="""","""",RANK(M43,FILTER($M$11:$M$100,$A$11:$A$100&lt;&gt;""""),0))"),"")</f>
        <v/>
      </c>
      <c r="O43" s="36" t="str">
        <f t="shared" si="8"/>
        <v/>
      </c>
      <c r="P43" s="36" t="str">
        <f t="shared" si="9"/>
        <v/>
      </c>
      <c r="R43" s="36" t="str">
        <f t="shared" si="10"/>
        <v/>
      </c>
      <c r="S43" s="36" t="str">
        <f t="shared" si="11"/>
        <v/>
      </c>
      <c r="T43" s="36" t="str">
        <f>IFERROR(__xludf.DUMMYFUNCTION("IF(A43="""","""",RANK(F43,FILTER($F$11:$F$100,$A$11:$A$100&lt;&gt;""""),0))"),"")</f>
        <v/>
      </c>
      <c r="U43" s="36" t="str">
        <f>IFERROR(__xludf.DUMMYFUNCTION("IF(A43="""","""",RANK(
(F43*0.5+K43*0.5),
FILTER($F$11:$F$100*0.5+$K$11:$K$100*0.5,$A$11:$A$100&lt;&gt;""""),
0))"),"")</f>
        <v/>
      </c>
      <c r="V43" s="36" t="str">
        <f>IFERROR(__xludf.DUMMYFUNCTION("IF(A43="""","""",RANK(
(F43*0.65+L43*0.35),
FILTER($F$11:$F$100*0.65+$L$11:$L$100*0.35,$A$11:$A$100&lt;&gt;""""),
0))"),"")</f>
        <v/>
      </c>
    </row>
    <row r="44">
      <c r="B44" s="36"/>
      <c r="C44" s="36"/>
      <c r="G44" s="36" t="str">
        <f t="shared" si="1"/>
        <v/>
      </c>
      <c r="H44" s="36" t="str">
        <f t="shared" si="2"/>
        <v/>
      </c>
      <c r="I44" s="3" t="str">
        <f t="shared" si="3"/>
        <v/>
      </c>
      <c r="J44" s="36" t="str">
        <f t="shared" si="4"/>
        <v/>
      </c>
      <c r="K44" s="3" t="str">
        <f t="shared" si="5"/>
        <v/>
      </c>
      <c r="L44" s="3" t="str">
        <f t="shared" si="6"/>
        <v/>
      </c>
      <c r="M44" s="36" t="str">
        <f t="shared" si="7"/>
        <v/>
      </c>
      <c r="N44" s="36" t="str">
        <f>IFERROR(__xludf.DUMMYFUNCTION("IF(A44="""","""",RANK(M44,FILTER($M$11:$M$100,$A$11:$A$100&lt;&gt;""""),0))"),"")</f>
        <v/>
      </c>
      <c r="O44" s="36" t="str">
        <f t="shared" si="8"/>
        <v/>
      </c>
      <c r="P44" s="36" t="str">
        <f t="shared" si="9"/>
        <v/>
      </c>
      <c r="R44" s="36" t="str">
        <f t="shared" si="10"/>
        <v/>
      </c>
      <c r="S44" s="36" t="str">
        <f t="shared" si="11"/>
        <v/>
      </c>
      <c r="T44" s="36" t="str">
        <f>IFERROR(__xludf.DUMMYFUNCTION("IF(A44="""","""",RANK(F44,FILTER($F$11:$F$100,$A$11:$A$100&lt;&gt;""""),0))"),"")</f>
        <v/>
      </c>
      <c r="U44" s="36" t="str">
        <f>IFERROR(__xludf.DUMMYFUNCTION("IF(A44="""","""",RANK(
(F44*0.5+K44*0.5),
FILTER($F$11:$F$100*0.5+$K$11:$K$100*0.5,$A$11:$A$100&lt;&gt;""""),
0))"),"")</f>
        <v/>
      </c>
      <c r="V44" s="36" t="str">
        <f>IFERROR(__xludf.DUMMYFUNCTION("IF(A44="""","""",RANK(
(F44*0.65+L44*0.35),
FILTER($F$11:$F$100*0.65+$L$11:$L$100*0.35,$A$11:$A$100&lt;&gt;""""),
0))"),"")</f>
        <v/>
      </c>
    </row>
    <row r="45">
      <c r="B45" s="36"/>
      <c r="C45" s="36"/>
      <c r="G45" s="36" t="str">
        <f t="shared" si="1"/>
        <v/>
      </c>
      <c r="H45" s="36" t="str">
        <f t="shared" si="2"/>
        <v/>
      </c>
      <c r="I45" s="3" t="str">
        <f t="shared" si="3"/>
        <v/>
      </c>
      <c r="J45" s="36" t="str">
        <f t="shared" si="4"/>
        <v/>
      </c>
      <c r="K45" s="3" t="str">
        <f t="shared" si="5"/>
        <v/>
      </c>
      <c r="L45" s="3" t="str">
        <f t="shared" si="6"/>
        <v/>
      </c>
      <c r="M45" s="36" t="str">
        <f t="shared" si="7"/>
        <v/>
      </c>
      <c r="N45" s="36" t="str">
        <f>IFERROR(__xludf.DUMMYFUNCTION("IF(A45="""","""",RANK(M45,FILTER($M$11:$M$100,$A$11:$A$100&lt;&gt;""""),0))"),"")</f>
        <v/>
      </c>
      <c r="O45" s="36" t="str">
        <f t="shared" si="8"/>
        <v/>
      </c>
      <c r="P45" s="36" t="str">
        <f t="shared" si="9"/>
        <v/>
      </c>
      <c r="R45" s="36" t="str">
        <f t="shared" si="10"/>
        <v/>
      </c>
      <c r="S45" s="36" t="str">
        <f t="shared" si="11"/>
        <v/>
      </c>
      <c r="T45" s="36" t="str">
        <f>IFERROR(__xludf.DUMMYFUNCTION("IF(A45="""","""",RANK(F45,FILTER($F$11:$F$100,$A$11:$A$100&lt;&gt;""""),0))"),"")</f>
        <v/>
      </c>
      <c r="U45" s="36" t="str">
        <f>IFERROR(__xludf.DUMMYFUNCTION("IF(A45="""","""",RANK(
(F45*0.5+K45*0.5),
FILTER($F$11:$F$100*0.5+$K$11:$K$100*0.5,$A$11:$A$100&lt;&gt;""""),
0))"),"")</f>
        <v/>
      </c>
      <c r="V45" s="36" t="str">
        <f>IFERROR(__xludf.DUMMYFUNCTION("IF(A45="""","""",RANK(
(F45*0.65+L45*0.35),
FILTER($F$11:$F$100*0.65+$L$11:$L$100*0.35,$A$11:$A$100&lt;&gt;""""),
0))"),"")</f>
        <v/>
      </c>
    </row>
    <row r="46">
      <c r="B46" s="36"/>
      <c r="C46" s="36"/>
      <c r="G46" s="36" t="str">
        <f t="shared" si="1"/>
        <v/>
      </c>
      <c r="H46" s="36" t="str">
        <f t="shared" si="2"/>
        <v/>
      </c>
      <c r="I46" s="3" t="str">
        <f t="shared" si="3"/>
        <v/>
      </c>
      <c r="J46" s="36" t="str">
        <f t="shared" si="4"/>
        <v/>
      </c>
      <c r="K46" s="3" t="str">
        <f t="shared" si="5"/>
        <v/>
      </c>
      <c r="L46" s="3" t="str">
        <f t="shared" si="6"/>
        <v/>
      </c>
      <c r="M46" s="36" t="str">
        <f t="shared" si="7"/>
        <v/>
      </c>
      <c r="N46" s="36" t="str">
        <f>IFERROR(__xludf.DUMMYFUNCTION("IF(A46="""","""",RANK(M46,FILTER($M$11:$M$100,$A$11:$A$100&lt;&gt;""""),0))"),"")</f>
        <v/>
      </c>
      <c r="O46" s="36" t="str">
        <f t="shared" si="8"/>
        <v/>
      </c>
      <c r="P46" s="36" t="str">
        <f t="shared" si="9"/>
        <v/>
      </c>
      <c r="R46" s="36" t="str">
        <f t="shared" si="10"/>
        <v/>
      </c>
      <c r="S46" s="36" t="str">
        <f t="shared" si="11"/>
        <v/>
      </c>
      <c r="T46" s="36" t="str">
        <f>IFERROR(__xludf.DUMMYFUNCTION("IF(A46="""","""",RANK(F46,FILTER($F$11:$F$100,$A$11:$A$100&lt;&gt;""""),0))"),"")</f>
        <v/>
      </c>
      <c r="U46" s="36" t="str">
        <f>IFERROR(__xludf.DUMMYFUNCTION("IF(A46="""","""",RANK(
(F46*0.5+K46*0.5),
FILTER($F$11:$F$100*0.5+$K$11:$K$100*0.5,$A$11:$A$100&lt;&gt;""""),
0))"),"")</f>
        <v/>
      </c>
      <c r="V46" s="36" t="str">
        <f>IFERROR(__xludf.DUMMYFUNCTION("IF(A46="""","""",RANK(
(F46*0.65+L46*0.35),
FILTER($F$11:$F$100*0.65+$L$11:$L$100*0.35,$A$11:$A$100&lt;&gt;""""),
0))"),"")</f>
        <v/>
      </c>
    </row>
    <row r="47">
      <c r="B47" s="36"/>
      <c r="C47" s="36"/>
      <c r="G47" s="36" t="str">
        <f t="shared" si="1"/>
        <v/>
      </c>
      <c r="H47" s="36" t="str">
        <f t="shared" si="2"/>
        <v/>
      </c>
      <c r="I47" s="3" t="str">
        <f t="shared" si="3"/>
        <v/>
      </c>
      <c r="J47" s="36" t="str">
        <f t="shared" si="4"/>
        <v/>
      </c>
      <c r="K47" s="3" t="str">
        <f t="shared" si="5"/>
        <v/>
      </c>
      <c r="L47" s="3" t="str">
        <f t="shared" si="6"/>
        <v/>
      </c>
      <c r="M47" s="36" t="str">
        <f t="shared" si="7"/>
        <v/>
      </c>
      <c r="N47" s="36" t="str">
        <f>IFERROR(__xludf.DUMMYFUNCTION("IF(A47="""","""",RANK(M47,FILTER($M$11:$M$100,$A$11:$A$100&lt;&gt;""""),0))"),"")</f>
        <v/>
      </c>
      <c r="O47" s="36" t="str">
        <f t="shared" si="8"/>
        <v/>
      </c>
      <c r="P47" s="36" t="str">
        <f t="shared" si="9"/>
        <v/>
      </c>
      <c r="R47" s="36" t="str">
        <f t="shared" si="10"/>
        <v/>
      </c>
      <c r="S47" s="36" t="str">
        <f t="shared" si="11"/>
        <v/>
      </c>
      <c r="T47" s="36" t="str">
        <f>IFERROR(__xludf.DUMMYFUNCTION("IF(A47="""","""",RANK(F47,FILTER($F$11:$F$100,$A$11:$A$100&lt;&gt;""""),0))"),"")</f>
        <v/>
      </c>
      <c r="U47" s="36" t="str">
        <f>IFERROR(__xludf.DUMMYFUNCTION("IF(A47="""","""",RANK(
(F47*0.5+K47*0.5),
FILTER($F$11:$F$100*0.5+$K$11:$K$100*0.5,$A$11:$A$100&lt;&gt;""""),
0))"),"")</f>
        <v/>
      </c>
      <c r="V47" s="36" t="str">
        <f>IFERROR(__xludf.DUMMYFUNCTION("IF(A47="""","""",RANK(
(F47*0.65+L47*0.35),
FILTER($F$11:$F$100*0.65+$L$11:$L$100*0.35,$A$11:$A$100&lt;&gt;""""),
0))"),"")</f>
        <v/>
      </c>
    </row>
    <row r="48">
      <c r="B48" s="36"/>
      <c r="C48" s="36"/>
      <c r="G48" s="36" t="str">
        <f t="shared" si="1"/>
        <v/>
      </c>
      <c r="H48" s="36" t="str">
        <f t="shared" si="2"/>
        <v/>
      </c>
      <c r="I48" s="3" t="str">
        <f t="shared" si="3"/>
        <v/>
      </c>
      <c r="J48" s="36" t="str">
        <f t="shared" si="4"/>
        <v/>
      </c>
      <c r="K48" s="3" t="str">
        <f t="shared" si="5"/>
        <v/>
      </c>
      <c r="L48" s="3" t="str">
        <f t="shared" si="6"/>
        <v/>
      </c>
      <c r="M48" s="36" t="str">
        <f t="shared" si="7"/>
        <v/>
      </c>
      <c r="N48" s="36" t="str">
        <f>IFERROR(__xludf.DUMMYFUNCTION("IF(A48="""","""",RANK(M48,FILTER($M$11:$M$100,$A$11:$A$100&lt;&gt;""""),0))"),"")</f>
        <v/>
      </c>
      <c r="O48" s="36" t="str">
        <f t="shared" si="8"/>
        <v/>
      </c>
      <c r="P48" s="36" t="str">
        <f t="shared" si="9"/>
        <v/>
      </c>
      <c r="R48" s="36" t="str">
        <f t="shared" si="10"/>
        <v/>
      </c>
      <c r="S48" s="36" t="str">
        <f t="shared" si="11"/>
        <v/>
      </c>
      <c r="T48" s="36" t="str">
        <f>IFERROR(__xludf.DUMMYFUNCTION("IF(A48="""","""",RANK(F48,FILTER($F$11:$F$100,$A$11:$A$100&lt;&gt;""""),0))"),"")</f>
        <v/>
      </c>
      <c r="U48" s="36" t="str">
        <f>IFERROR(__xludf.DUMMYFUNCTION("IF(A48="""","""",RANK(
(F48*0.5+K48*0.5),
FILTER($F$11:$F$100*0.5+$K$11:$K$100*0.5,$A$11:$A$100&lt;&gt;""""),
0))"),"")</f>
        <v/>
      </c>
      <c r="V48" s="36" t="str">
        <f>IFERROR(__xludf.DUMMYFUNCTION("IF(A48="""","""",RANK(
(F48*0.65+L48*0.35),
FILTER($F$11:$F$100*0.65+$L$11:$L$100*0.35,$A$11:$A$100&lt;&gt;""""),
0))"),"")</f>
        <v/>
      </c>
    </row>
    <row r="49">
      <c r="B49" s="36"/>
      <c r="C49" s="36"/>
      <c r="G49" s="36" t="str">
        <f t="shared" si="1"/>
        <v/>
      </c>
      <c r="H49" s="36" t="str">
        <f t="shared" si="2"/>
        <v/>
      </c>
      <c r="I49" s="3" t="str">
        <f t="shared" si="3"/>
        <v/>
      </c>
      <c r="J49" s="36" t="str">
        <f t="shared" si="4"/>
        <v/>
      </c>
      <c r="K49" s="3" t="str">
        <f t="shared" si="5"/>
        <v/>
      </c>
      <c r="L49" s="3" t="str">
        <f t="shared" si="6"/>
        <v/>
      </c>
      <c r="M49" s="36" t="str">
        <f t="shared" si="7"/>
        <v/>
      </c>
      <c r="N49" s="36" t="str">
        <f>IFERROR(__xludf.DUMMYFUNCTION("IF(A49="""","""",RANK(M49,FILTER($M$11:$M$100,$A$11:$A$100&lt;&gt;""""),0))"),"")</f>
        <v/>
      </c>
      <c r="O49" s="36" t="str">
        <f t="shared" si="8"/>
        <v/>
      </c>
      <c r="P49" s="36" t="str">
        <f t="shared" si="9"/>
        <v/>
      </c>
      <c r="R49" s="36" t="str">
        <f t="shared" si="10"/>
        <v/>
      </c>
      <c r="S49" s="36" t="str">
        <f t="shared" si="11"/>
        <v/>
      </c>
      <c r="T49" s="36" t="str">
        <f>IFERROR(__xludf.DUMMYFUNCTION("IF(A49="""","""",RANK(F49,FILTER($F$11:$F$100,$A$11:$A$100&lt;&gt;""""),0))"),"")</f>
        <v/>
      </c>
      <c r="U49" s="36" t="str">
        <f>IFERROR(__xludf.DUMMYFUNCTION("IF(A49="""","""",RANK(
(F49*0.5+K49*0.5),
FILTER($F$11:$F$100*0.5+$K$11:$K$100*0.5,$A$11:$A$100&lt;&gt;""""),
0))"),"")</f>
        <v/>
      </c>
      <c r="V49" s="36" t="str">
        <f>IFERROR(__xludf.DUMMYFUNCTION("IF(A49="""","""",RANK(
(F49*0.65+L49*0.35),
FILTER($F$11:$F$100*0.65+$L$11:$L$100*0.35,$A$11:$A$100&lt;&gt;""""),
0))"),"")</f>
        <v/>
      </c>
    </row>
    <row r="50">
      <c r="B50" s="36"/>
      <c r="C50" s="36"/>
      <c r="G50" s="36" t="str">
        <f t="shared" si="1"/>
        <v/>
      </c>
      <c r="H50" s="36" t="str">
        <f t="shared" si="2"/>
        <v/>
      </c>
      <c r="I50" s="3" t="str">
        <f t="shared" si="3"/>
        <v/>
      </c>
      <c r="J50" s="36" t="str">
        <f t="shared" si="4"/>
        <v/>
      </c>
      <c r="K50" s="3" t="str">
        <f t="shared" si="5"/>
        <v/>
      </c>
      <c r="L50" s="3" t="str">
        <f t="shared" si="6"/>
        <v/>
      </c>
      <c r="M50" s="36" t="str">
        <f t="shared" si="7"/>
        <v/>
      </c>
      <c r="N50" s="36" t="str">
        <f>IFERROR(__xludf.DUMMYFUNCTION("IF(A50="""","""",RANK(M50,FILTER($M$11:$M$100,$A$11:$A$100&lt;&gt;""""),0))"),"")</f>
        <v/>
      </c>
      <c r="O50" s="36" t="str">
        <f t="shared" si="8"/>
        <v/>
      </c>
      <c r="P50" s="36" t="str">
        <f t="shared" si="9"/>
        <v/>
      </c>
      <c r="R50" s="36" t="str">
        <f t="shared" si="10"/>
        <v/>
      </c>
      <c r="S50" s="36" t="str">
        <f t="shared" si="11"/>
        <v/>
      </c>
      <c r="T50" s="36" t="str">
        <f>IFERROR(__xludf.DUMMYFUNCTION("IF(A50="""","""",RANK(F50,FILTER($F$11:$F$100,$A$11:$A$100&lt;&gt;""""),0))"),"")</f>
        <v/>
      </c>
      <c r="U50" s="36" t="str">
        <f>IFERROR(__xludf.DUMMYFUNCTION("IF(A50="""","""",RANK(
(F50*0.5+K50*0.5),
FILTER($F$11:$F$100*0.5+$K$11:$K$100*0.5,$A$11:$A$100&lt;&gt;""""),
0))"),"")</f>
        <v/>
      </c>
      <c r="V50" s="36" t="str">
        <f>IFERROR(__xludf.DUMMYFUNCTION("IF(A50="""","""",RANK(
(F50*0.65+L50*0.35),
FILTER($F$11:$F$100*0.65+$L$11:$L$100*0.35,$A$11:$A$100&lt;&gt;""""),
0))"),"")</f>
        <v/>
      </c>
    </row>
    <row r="51">
      <c r="B51" s="36"/>
      <c r="C51" s="36"/>
      <c r="G51" s="36" t="str">
        <f t="shared" si="1"/>
        <v/>
      </c>
      <c r="H51" s="36" t="str">
        <f t="shared" si="2"/>
        <v/>
      </c>
      <c r="I51" s="3" t="str">
        <f t="shared" si="3"/>
        <v/>
      </c>
      <c r="J51" s="36" t="str">
        <f t="shared" si="4"/>
        <v/>
      </c>
      <c r="K51" s="3" t="str">
        <f t="shared" si="5"/>
        <v/>
      </c>
      <c r="L51" s="3" t="str">
        <f t="shared" si="6"/>
        <v/>
      </c>
      <c r="M51" s="36" t="str">
        <f t="shared" si="7"/>
        <v/>
      </c>
      <c r="N51" s="36" t="str">
        <f>IFERROR(__xludf.DUMMYFUNCTION("IF(A51="""","""",RANK(M51,FILTER($M$11:$M$100,$A$11:$A$100&lt;&gt;""""),0))"),"")</f>
        <v/>
      </c>
      <c r="O51" s="36" t="str">
        <f t="shared" si="8"/>
        <v/>
      </c>
      <c r="P51" s="36" t="str">
        <f t="shared" si="9"/>
        <v/>
      </c>
      <c r="R51" s="36" t="str">
        <f t="shared" si="10"/>
        <v/>
      </c>
      <c r="S51" s="36" t="str">
        <f t="shared" si="11"/>
        <v/>
      </c>
      <c r="T51" s="36" t="str">
        <f>IFERROR(__xludf.DUMMYFUNCTION("IF(A51="""","""",RANK(F51,FILTER($F$11:$F$100,$A$11:$A$100&lt;&gt;""""),0))"),"")</f>
        <v/>
      </c>
      <c r="U51" s="36" t="str">
        <f>IFERROR(__xludf.DUMMYFUNCTION("IF(A51="""","""",RANK(
(F51*0.5+K51*0.5),
FILTER($F$11:$F$100*0.5+$K$11:$K$100*0.5,$A$11:$A$100&lt;&gt;""""),
0))"),"")</f>
        <v/>
      </c>
      <c r="V51" s="36" t="str">
        <f>IFERROR(__xludf.DUMMYFUNCTION("IF(A51="""","""",RANK(
(F51*0.65+L51*0.35),
FILTER($F$11:$F$100*0.65+$L$11:$L$100*0.35,$A$11:$A$100&lt;&gt;""""),
0))"),"")</f>
        <v/>
      </c>
    </row>
    <row r="52">
      <c r="B52" s="36"/>
      <c r="C52" s="36"/>
      <c r="G52" s="36" t="str">
        <f t="shared" si="1"/>
        <v/>
      </c>
      <c r="H52" s="36" t="str">
        <f t="shared" si="2"/>
        <v/>
      </c>
      <c r="I52" s="3" t="str">
        <f t="shared" si="3"/>
        <v/>
      </c>
      <c r="J52" s="36" t="str">
        <f t="shared" si="4"/>
        <v/>
      </c>
      <c r="K52" s="3" t="str">
        <f t="shared" si="5"/>
        <v/>
      </c>
      <c r="L52" s="3" t="str">
        <f t="shared" si="6"/>
        <v/>
      </c>
      <c r="M52" s="36" t="str">
        <f t="shared" si="7"/>
        <v/>
      </c>
      <c r="N52" s="36" t="str">
        <f>IFERROR(__xludf.DUMMYFUNCTION("IF(A52="""","""",RANK(M52,FILTER($M$11:$M$100,$A$11:$A$100&lt;&gt;""""),0))"),"")</f>
        <v/>
      </c>
      <c r="O52" s="36" t="str">
        <f t="shared" si="8"/>
        <v/>
      </c>
      <c r="P52" s="36" t="str">
        <f t="shared" si="9"/>
        <v/>
      </c>
      <c r="R52" s="36" t="str">
        <f t="shared" si="10"/>
        <v/>
      </c>
      <c r="S52" s="36" t="str">
        <f t="shared" si="11"/>
        <v/>
      </c>
      <c r="T52" s="36" t="str">
        <f>IFERROR(__xludf.DUMMYFUNCTION("IF(A52="""","""",RANK(F52,FILTER($F$11:$F$100,$A$11:$A$100&lt;&gt;""""),0))"),"")</f>
        <v/>
      </c>
      <c r="U52" s="36" t="str">
        <f>IFERROR(__xludf.DUMMYFUNCTION("IF(A52="""","""",RANK(
(F52*0.5+K52*0.5),
FILTER($F$11:$F$100*0.5+$K$11:$K$100*0.5,$A$11:$A$100&lt;&gt;""""),
0))"),"")</f>
        <v/>
      </c>
      <c r="V52" s="36" t="str">
        <f>IFERROR(__xludf.DUMMYFUNCTION("IF(A52="""","""",RANK(
(F52*0.65+L52*0.35),
FILTER($F$11:$F$100*0.65+$L$11:$L$100*0.35,$A$11:$A$100&lt;&gt;""""),
0))"),"")</f>
        <v/>
      </c>
    </row>
    <row r="53">
      <c r="B53" s="36"/>
      <c r="C53" s="36"/>
      <c r="G53" s="36" t="str">
        <f t="shared" si="1"/>
        <v/>
      </c>
      <c r="H53" s="36" t="str">
        <f t="shared" si="2"/>
        <v/>
      </c>
      <c r="I53" s="3" t="str">
        <f t="shared" si="3"/>
        <v/>
      </c>
      <c r="J53" s="36" t="str">
        <f t="shared" si="4"/>
        <v/>
      </c>
      <c r="K53" s="3" t="str">
        <f t="shared" si="5"/>
        <v/>
      </c>
      <c r="L53" s="3" t="str">
        <f t="shared" si="6"/>
        <v/>
      </c>
      <c r="M53" s="36" t="str">
        <f t="shared" si="7"/>
        <v/>
      </c>
      <c r="N53" s="36" t="str">
        <f>IFERROR(__xludf.DUMMYFUNCTION("IF(A53="""","""",RANK(M53,FILTER($M$11:$M$100,$A$11:$A$100&lt;&gt;""""),0))"),"")</f>
        <v/>
      </c>
      <c r="O53" s="36" t="str">
        <f t="shared" si="8"/>
        <v/>
      </c>
      <c r="P53" s="36" t="str">
        <f t="shared" si="9"/>
        <v/>
      </c>
      <c r="R53" s="36" t="str">
        <f t="shared" si="10"/>
        <v/>
      </c>
      <c r="S53" s="36" t="str">
        <f t="shared" si="11"/>
        <v/>
      </c>
      <c r="T53" s="36" t="str">
        <f>IFERROR(__xludf.DUMMYFUNCTION("IF(A53="""","""",RANK(F53,FILTER($F$11:$F$100,$A$11:$A$100&lt;&gt;""""),0))"),"")</f>
        <v/>
      </c>
      <c r="U53" s="36" t="str">
        <f>IFERROR(__xludf.DUMMYFUNCTION("IF(A53="""","""",RANK(
(F53*0.5+K53*0.5),
FILTER($F$11:$F$100*0.5+$K$11:$K$100*0.5,$A$11:$A$100&lt;&gt;""""),
0))"),"")</f>
        <v/>
      </c>
      <c r="V53" s="36" t="str">
        <f>IFERROR(__xludf.DUMMYFUNCTION("IF(A53="""","""",RANK(
(F53*0.65+L53*0.35),
FILTER($F$11:$F$100*0.65+$L$11:$L$100*0.35,$A$11:$A$100&lt;&gt;""""),
0))"),"")</f>
        <v/>
      </c>
    </row>
    <row r="54">
      <c r="B54" s="36"/>
      <c r="C54" s="36"/>
      <c r="G54" s="36" t="str">
        <f t="shared" si="1"/>
        <v/>
      </c>
      <c r="H54" s="36" t="str">
        <f t="shared" si="2"/>
        <v/>
      </c>
      <c r="I54" s="3" t="str">
        <f t="shared" si="3"/>
        <v/>
      </c>
      <c r="J54" s="36" t="str">
        <f t="shared" si="4"/>
        <v/>
      </c>
      <c r="K54" s="3" t="str">
        <f t="shared" si="5"/>
        <v/>
      </c>
      <c r="L54" s="3" t="str">
        <f t="shared" si="6"/>
        <v/>
      </c>
      <c r="M54" s="36" t="str">
        <f t="shared" si="7"/>
        <v/>
      </c>
      <c r="N54" s="36" t="str">
        <f>IFERROR(__xludf.DUMMYFUNCTION("IF(A54="""","""",RANK(M54,FILTER($M$11:$M$100,$A$11:$A$100&lt;&gt;""""),0))"),"")</f>
        <v/>
      </c>
      <c r="O54" s="36" t="str">
        <f t="shared" si="8"/>
        <v/>
      </c>
      <c r="P54" s="36" t="str">
        <f t="shared" si="9"/>
        <v/>
      </c>
      <c r="R54" s="36" t="str">
        <f t="shared" si="10"/>
        <v/>
      </c>
      <c r="S54" s="36" t="str">
        <f t="shared" si="11"/>
        <v/>
      </c>
      <c r="T54" s="36" t="str">
        <f>IFERROR(__xludf.DUMMYFUNCTION("IF(A54="""","""",RANK(F54,FILTER($F$11:$F$100,$A$11:$A$100&lt;&gt;""""),0))"),"")</f>
        <v/>
      </c>
      <c r="U54" s="36" t="str">
        <f>IFERROR(__xludf.DUMMYFUNCTION("IF(A54="""","""",RANK(
(F54*0.5+K54*0.5),
FILTER($F$11:$F$100*0.5+$K$11:$K$100*0.5,$A$11:$A$100&lt;&gt;""""),
0))"),"")</f>
        <v/>
      </c>
      <c r="V54" s="36" t="str">
        <f>IFERROR(__xludf.DUMMYFUNCTION("IF(A54="""","""",RANK(
(F54*0.65+L54*0.35),
FILTER($F$11:$F$100*0.65+$L$11:$L$100*0.35,$A$11:$A$100&lt;&gt;""""),
0))"),"")</f>
        <v/>
      </c>
    </row>
    <row r="55">
      <c r="B55" s="36"/>
      <c r="C55" s="36"/>
      <c r="G55" s="36" t="str">
        <f t="shared" si="1"/>
        <v/>
      </c>
      <c r="H55" s="36" t="str">
        <f t="shared" si="2"/>
        <v/>
      </c>
      <c r="I55" s="3" t="str">
        <f t="shared" si="3"/>
        <v/>
      </c>
      <c r="J55" s="36" t="str">
        <f t="shared" si="4"/>
        <v/>
      </c>
      <c r="K55" s="3" t="str">
        <f t="shared" si="5"/>
        <v/>
      </c>
      <c r="L55" s="3" t="str">
        <f t="shared" si="6"/>
        <v/>
      </c>
      <c r="M55" s="36" t="str">
        <f t="shared" si="7"/>
        <v/>
      </c>
      <c r="N55" s="36" t="str">
        <f>IFERROR(__xludf.DUMMYFUNCTION("IF(A55="""","""",RANK(M55,FILTER($M$11:$M$100,$A$11:$A$100&lt;&gt;""""),0))"),"")</f>
        <v/>
      </c>
      <c r="O55" s="36" t="str">
        <f t="shared" si="8"/>
        <v/>
      </c>
      <c r="P55" s="36" t="str">
        <f t="shared" si="9"/>
        <v/>
      </c>
      <c r="R55" s="36" t="str">
        <f t="shared" si="10"/>
        <v/>
      </c>
      <c r="S55" s="36" t="str">
        <f t="shared" si="11"/>
        <v/>
      </c>
      <c r="T55" s="36" t="str">
        <f>IFERROR(__xludf.DUMMYFUNCTION("IF(A55="""","""",RANK(F55,FILTER($F$11:$F$100,$A$11:$A$100&lt;&gt;""""),0))"),"")</f>
        <v/>
      </c>
      <c r="U55" s="36" t="str">
        <f>IFERROR(__xludf.DUMMYFUNCTION("IF(A55="""","""",RANK(
(F55*0.5+K55*0.5),
FILTER($F$11:$F$100*0.5+$K$11:$K$100*0.5,$A$11:$A$100&lt;&gt;""""),
0))"),"")</f>
        <v/>
      </c>
      <c r="V55" s="36" t="str">
        <f>IFERROR(__xludf.DUMMYFUNCTION("IF(A55="""","""",RANK(
(F55*0.65+L55*0.35),
FILTER($F$11:$F$100*0.65+$L$11:$L$100*0.35,$A$11:$A$100&lt;&gt;""""),
0))"),"")</f>
        <v/>
      </c>
    </row>
    <row r="56">
      <c r="B56" s="36"/>
      <c r="C56" s="36"/>
      <c r="G56" s="36" t="str">
        <f t="shared" si="1"/>
        <v/>
      </c>
      <c r="H56" s="36" t="str">
        <f t="shared" si="2"/>
        <v/>
      </c>
      <c r="I56" s="3" t="str">
        <f t="shared" si="3"/>
        <v/>
      </c>
      <c r="J56" s="36" t="str">
        <f t="shared" si="4"/>
        <v/>
      </c>
      <c r="K56" s="3" t="str">
        <f t="shared" si="5"/>
        <v/>
      </c>
      <c r="L56" s="3" t="str">
        <f t="shared" si="6"/>
        <v/>
      </c>
      <c r="M56" s="36" t="str">
        <f t="shared" si="7"/>
        <v/>
      </c>
      <c r="N56" s="36" t="str">
        <f>IFERROR(__xludf.DUMMYFUNCTION("IF(A56="""","""",RANK(M56,FILTER($M$11:$M$100,$A$11:$A$100&lt;&gt;""""),0))"),"")</f>
        <v/>
      </c>
      <c r="O56" s="36" t="str">
        <f t="shared" si="8"/>
        <v/>
      </c>
      <c r="P56" s="36" t="str">
        <f t="shared" si="9"/>
        <v/>
      </c>
      <c r="R56" s="36" t="str">
        <f t="shared" si="10"/>
        <v/>
      </c>
      <c r="S56" s="36" t="str">
        <f t="shared" si="11"/>
        <v/>
      </c>
      <c r="T56" s="36" t="str">
        <f>IFERROR(__xludf.DUMMYFUNCTION("IF(A56="""","""",RANK(F56,FILTER($F$11:$F$100,$A$11:$A$100&lt;&gt;""""),0))"),"")</f>
        <v/>
      </c>
      <c r="U56" s="36" t="str">
        <f>IFERROR(__xludf.DUMMYFUNCTION("IF(A56="""","""",RANK(
(F56*0.5+K56*0.5),
FILTER($F$11:$F$100*0.5+$K$11:$K$100*0.5,$A$11:$A$100&lt;&gt;""""),
0))"),"")</f>
        <v/>
      </c>
      <c r="V56" s="36" t="str">
        <f>IFERROR(__xludf.DUMMYFUNCTION("IF(A56="""","""",RANK(
(F56*0.65+L56*0.35),
FILTER($F$11:$F$100*0.65+$L$11:$L$100*0.35,$A$11:$A$100&lt;&gt;""""),
0))"),"")</f>
        <v/>
      </c>
    </row>
    <row r="57">
      <c r="B57" s="36"/>
      <c r="C57" s="36"/>
      <c r="G57" s="36" t="str">
        <f t="shared" si="1"/>
        <v/>
      </c>
      <c r="H57" s="36" t="str">
        <f t="shared" si="2"/>
        <v/>
      </c>
      <c r="I57" s="3" t="str">
        <f t="shared" si="3"/>
        <v/>
      </c>
      <c r="J57" s="36" t="str">
        <f t="shared" si="4"/>
        <v/>
      </c>
      <c r="K57" s="3" t="str">
        <f t="shared" si="5"/>
        <v/>
      </c>
      <c r="L57" s="3" t="str">
        <f t="shared" si="6"/>
        <v/>
      </c>
      <c r="M57" s="36" t="str">
        <f t="shared" si="7"/>
        <v/>
      </c>
      <c r="N57" s="36" t="str">
        <f>IFERROR(__xludf.DUMMYFUNCTION("IF(A57="""","""",RANK(M57,FILTER($M$11:$M$100,$A$11:$A$100&lt;&gt;""""),0))"),"")</f>
        <v/>
      </c>
      <c r="O57" s="36" t="str">
        <f t="shared" si="8"/>
        <v/>
      </c>
      <c r="P57" s="36" t="str">
        <f t="shared" si="9"/>
        <v/>
      </c>
      <c r="R57" s="36" t="str">
        <f t="shared" si="10"/>
        <v/>
      </c>
      <c r="S57" s="36" t="str">
        <f t="shared" si="11"/>
        <v/>
      </c>
      <c r="T57" s="36" t="str">
        <f>IFERROR(__xludf.DUMMYFUNCTION("IF(A57="""","""",RANK(F57,FILTER($F$11:$F$100,$A$11:$A$100&lt;&gt;""""),0))"),"")</f>
        <v/>
      </c>
      <c r="U57" s="36" t="str">
        <f>IFERROR(__xludf.DUMMYFUNCTION("IF(A57="""","""",RANK(
(F57*0.5+K57*0.5),
FILTER($F$11:$F$100*0.5+$K$11:$K$100*0.5,$A$11:$A$100&lt;&gt;""""),
0))"),"")</f>
        <v/>
      </c>
      <c r="V57" s="36" t="str">
        <f>IFERROR(__xludf.DUMMYFUNCTION("IF(A57="""","""",RANK(
(F57*0.65+L57*0.35),
FILTER($F$11:$F$100*0.65+$L$11:$L$100*0.35,$A$11:$A$100&lt;&gt;""""),
0))"),"")</f>
        <v/>
      </c>
    </row>
    <row r="58">
      <c r="B58" s="36"/>
      <c r="C58" s="36"/>
      <c r="G58" s="36" t="str">
        <f t="shared" si="1"/>
        <v/>
      </c>
      <c r="H58" s="36" t="str">
        <f t="shared" si="2"/>
        <v/>
      </c>
      <c r="I58" s="3" t="str">
        <f t="shared" si="3"/>
        <v/>
      </c>
      <c r="J58" s="36" t="str">
        <f t="shared" si="4"/>
        <v/>
      </c>
      <c r="K58" s="3" t="str">
        <f t="shared" si="5"/>
        <v/>
      </c>
      <c r="L58" s="3" t="str">
        <f t="shared" si="6"/>
        <v/>
      </c>
      <c r="M58" s="36" t="str">
        <f t="shared" si="7"/>
        <v/>
      </c>
      <c r="N58" s="36" t="str">
        <f>IFERROR(__xludf.DUMMYFUNCTION("IF(A58="""","""",RANK(M58,FILTER($M$11:$M$100,$A$11:$A$100&lt;&gt;""""),0))"),"")</f>
        <v/>
      </c>
      <c r="O58" s="36" t="str">
        <f t="shared" si="8"/>
        <v/>
      </c>
      <c r="P58" s="36" t="str">
        <f t="shared" si="9"/>
        <v/>
      </c>
      <c r="R58" s="36" t="str">
        <f t="shared" si="10"/>
        <v/>
      </c>
      <c r="S58" s="36" t="str">
        <f t="shared" si="11"/>
        <v/>
      </c>
      <c r="T58" s="36" t="str">
        <f>IFERROR(__xludf.DUMMYFUNCTION("IF(A58="""","""",RANK(F58,FILTER($F$11:$F$100,$A$11:$A$100&lt;&gt;""""),0))"),"")</f>
        <v/>
      </c>
      <c r="U58" s="36" t="str">
        <f>IFERROR(__xludf.DUMMYFUNCTION("IF(A58="""","""",RANK(
(F58*0.5+K58*0.5),
FILTER($F$11:$F$100*0.5+$K$11:$K$100*0.5,$A$11:$A$100&lt;&gt;""""),
0))"),"")</f>
        <v/>
      </c>
      <c r="V58" s="36" t="str">
        <f>IFERROR(__xludf.DUMMYFUNCTION("IF(A58="""","""",RANK(
(F58*0.65+L58*0.35),
FILTER($F$11:$F$100*0.65+$L$11:$L$100*0.35,$A$11:$A$100&lt;&gt;""""),
0))"),"")</f>
        <v/>
      </c>
    </row>
    <row r="59">
      <c r="B59" s="36"/>
      <c r="C59" s="36"/>
      <c r="G59" s="36" t="str">
        <f t="shared" si="1"/>
        <v/>
      </c>
      <c r="H59" s="36" t="str">
        <f t="shared" si="2"/>
        <v/>
      </c>
      <c r="I59" s="3" t="str">
        <f t="shared" si="3"/>
        <v/>
      </c>
      <c r="J59" s="36" t="str">
        <f t="shared" si="4"/>
        <v/>
      </c>
      <c r="K59" s="3" t="str">
        <f t="shared" si="5"/>
        <v/>
      </c>
      <c r="L59" s="3" t="str">
        <f t="shared" si="6"/>
        <v/>
      </c>
      <c r="M59" s="36" t="str">
        <f t="shared" si="7"/>
        <v/>
      </c>
      <c r="N59" s="36" t="str">
        <f>IFERROR(__xludf.DUMMYFUNCTION("IF(A59="""","""",RANK(M59,FILTER($M$11:$M$100,$A$11:$A$100&lt;&gt;""""),0))"),"")</f>
        <v/>
      </c>
      <c r="O59" s="36" t="str">
        <f t="shared" si="8"/>
        <v/>
      </c>
      <c r="P59" s="36" t="str">
        <f t="shared" si="9"/>
        <v/>
      </c>
      <c r="R59" s="36" t="str">
        <f t="shared" si="10"/>
        <v/>
      </c>
      <c r="S59" s="36" t="str">
        <f t="shared" si="11"/>
        <v/>
      </c>
      <c r="T59" s="36" t="str">
        <f>IFERROR(__xludf.DUMMYFUNCTION("IF(A59="""","""",RANK(F59,FILTER($F$11:$F$100,$A$11:$A$100&lt;&gt;""""),0))"),"")</f>
        <v/>
      </c>
      <c r="U59" s="36" t="str">
        <f>IFERROR(__xludf.DUMMYFUNCTION("IF(A59="""","""",RANK(
(F59*0.5+K59*0.5),
FILTER($F$11:$F$100*0.5+$K$11:$K$100*0.5,$A$11:$A$100&lt;&gt;""""),
0))"),"")</f>
        <v/>
      </c>
      <c r="V59" s="36" t="str">
        <f>IFERROR(__xludf.DUMMYFUNCTION("IF(A59="""","""",RANK(
(F59*0.65+L59*0.35),
FILTER($F$11:$F$100*0.65+$L$11:$L$100*0.35,$A$11:$A$100&lt;&gt;""""),
0))"),"")</f>
        <v/>
      </c>
    </row>
    <row r="60">
      <c r="B60" s="36"/>
      <c r="C60" s="36"/>
      <c r="G60" s="36" t="str">
        <f t="shared" si="1"/>
        <v/>
      </c>
      <c r="H60" s="36" t="str">
        <f t="shared" si="2"/>
        <v/>
      </c>
      <c r="I60" s="3" t="str">
        <f t="shared" si="3"/>
        <v/>
      </c>
      <c r="J60" s="36" t="str">
        <f t="shared" si="4"/>
        <v/>
      </c>
      <c r="K60" s="3" t="str">
        <f t="shared" si="5"/>
        <v/>
      </c>
      <c r="L60" s="3" t="str">
        <f t="shared" si="6"/>
        <v/>
      </c>
      <c r="M60" s="36" t="str">
        <f t="shared" si="7"/>
        <v/>
      </c>
      <c r="N60" s="36" t="str">
        <f>IFERROR(__xludf.DUMMYFUNCTION("IF(A60="""","""",RANK(M60,FILTER($M$11:$M$100,$A$11:$A$100&lt;&gt;""""),0))"),"")</f>
        <v/>
      </c>
      <c r="O60" s="36" t="str">
        <f t="shared" si="8"/>
        <v/>
      </c>
      <c r="P60" s="36" t="str">
        <f t="shared" si="9"/>
        <v/>
      </c>
      <c r="R60" s="36" t="str">
        <f t="shared" si="10"/>
        <v/>
      </c>
      <c r="S60" s="36" t="str">
        <f t="shared" si="11"/>
        <v/>
      </c>
      <c r="T60" s="36" t="str">
        <f>IFERROR(__xludf.DUMMYFUNCTION("IF(A60="""","""",RANK(F60,FILTER($F$11:$F$100,$A$11:$A$100&lt;&gt;""""),0))"),"")</f>
        <v/>
      </c>
      <c r="U60" s="36" t="str">
        <f>IFERROR(__xludf.DUMMYFUNCTION("IF(A60="""","""",RANK(
(F60*0.5+K60*0.5),
FILTER($F$11:$F$100*0.5+$K$11:$K$100*0.5,$A$11:$A$100&lt;&gt;""""),
0))"),"")</f>
        <v/>
      </c>
      <c r="V60" s="36" t="str">
        <f>IFERROR(__xludf.DUMMYFUNCTION("IF(A60="""","""",RANK(
(F60*0.65+L60*0.35),
FILTER($F$11:$F$100*0.65+$L$11:$L$100*0.35,$A$11:$A$100&lt;&gt;""""),
0))"),"")</f>
        <v/>
      </c>
    </row>
    <row r="61">
      <c r="B61" s="36"/>
      <c r="C61" s="36"/>
      <c r="G61" s="36" t="str">
        <f t="shared" si="1"/>
        <v/>
      </c>
      <c r="H61" s="36" t="str">
        <f t="shared" si="2"/>
        <v/>
      </c>
      <c r="I61" s="3" t="str">
        <f t="shared" si="3"/>
        <v/>
      </c>
      <c r="J61" s="36" t="str">
        <f t="shared" si="4"/>
        <v/>
      </c>
      <c r="K61" s="3" t="str">
        <f t="shared" si="5"/>
        <v/>
      </c>
      <c r="L61" s="3" t="str">
        <f t="shared" si="6"/>
        <v/>
      </c>
      <c r="M61" s="36" t="str">
        <f t="shared" si="7"/>
        <v/>
      </c>
      <c r="N61" s="36" t="str">
        <f>IFERROR(__xludf.DUMMYFUNCTION("IF(A61="""","""",RANK(M61,FILTER($M$11:$M$100,$A$11:$A$100&lt;&gt;""""),0))"),"")</f>
        <v/>
      </c>
      <c r="O61" s="36" t="str">
        <f t="shared" si="8"/>
        <v/>
      </c>
      <c r="P61" s="36" t="str">
        <f t="shared" si="9"/>
        <v/>
      </c>
      <c r="R61" s="36" t="str">
        <f t="shared" si="10"/>
        <v/>
      </c>
      <c r="S61" s="36" t="str">
        <f t="shared" si="11"/>
        <v/>
      </c>
      <c r="T61" s="36" t="str">
        <f>IFERROR(__xludf.DUMMYFUNCTION("IF(A61="""","""",RANK(F61,FILTER($F$11:$F$100,$A$11:$A$100&lt;&gt;""""),0))"),"")</f>
        <v/>
      </c>
      <c r="U61" s="36" t="str">
        <f>IFERROR(__xludf.DUMMYFUNCTION("IF(A61="""","""",RANK(
(F61*0.5+K61*0.5),
FILTER($F$11:$F$100*0.5+$K$11:$K$100*0.5,$A$11:$A$100&lt;&gt;""""),
0))"),"")</f>
        <v/>
      </c>
      <c r="V61" s="36" t="str">
        <f>IFERROR(__xludf.DUMMYFUNCTION("IF(A61="""","""",RANK(
(F61*0.65+L61*0.35),
FILTER($F$11:$F$100*0.65+$L$11:$L$100*0.35,$A$11:$A$100&lt;&gt;""""),
0))"),"")</f>
        <v/>
      </c>
    </row>
    <row r="62">
      <c r="B62" s="36"/>
      <c r="C62" s="36"/>
      <c r="G62" s="36" t="str">
        <f t="shared" si="1"/>
        <v/>
      </c>
      <c r="H62" s="36" t="str">
        <f t="shared" si="2"/>
        <v/>
      </c>
      <c r="I62" s="3" t="str">
        <f t="shared" si="3"/>
        <v/>
      </c>
      <c r="J62" s="36" t="str">
        <f t="shared" si="4"/>
        <v/>
      </c>
      <c r="K62" s="3" t="str">
        <f t="shared" si="5"/>
        <v/>
      </c>
      <c r="L62" s="3" t="str">
        <f t="shared" si="6"/>
        <v/>
      </c>
      <c r="M62" s="36" t="str">
        <f t="shared" si="7"/>
        <v/>
      </c>
      <c r="N62" s="36" t="str">
        <f>IFERROR(__xludf.DUMMYFUNCTION("IF(A62="""","""",RANK(M62,FILTER($M$11:$M$100,$A$11:$A$100&lt;&gt;""""),0))"),"")</f>
        <v/>
      </c>
      <c r="O62" s="36" t="str">
        <f t="shared" si="8"/>
        <v/>
      </c>
      <c r="P62" s="36" t="str">
        <f t="shared" si="9"/>
        <v/>
      </c>
      <c r="R62" s="36" t="str">
        <f t="shared" si="10"/>
        <v/>
      </c>
      <c r="S62" s="36" t="str">
        <f t="shared" si="11"/>
        <v/>
      </c>
      <c r="T62" s="36" t="str">
        <f>IFERROR(__xludf.DUMMYFUNCTION("IF(A62="""","""",RANK(F62,FILTER($F$11:$F$100,$A$11:$A$100&lt;&gt;""""),0))"),"")</f>
        <v/>
      </c>
      <c r="U62" s="36" t="str">
        <f>IFERROR(__xludf.DUMMYFUNCTION("IF(A62="""","""",RANK(
(F62*0.5+K62*0.5),
FILTER($F$11:$F$100*0.5+$K$11:$K$100*0.5,$A$11:$A$100&lt;&gt;""""),
0))"),"")</f>
        <v/>
      </c>
      <c r="V62" s="36" t="str">
        <f>IFERROR(__xludf.DUMMYFUNCTION("IF(A62="""","""",RANK(
(F62*0.65+L62*0.35),
FILTER($F$11:$F$100*0.65+$L$11:$L$100*0.35,$A$11:$A$100&lt;&gt;""""),
0))"),"")</f>
        <v/>
      </c>
    </row>
    <row r="63">
      <c r="B63" s="36"/>
      <c r="C63" s="36"/>
      <c r="G63" s="36" t="str">
        <f t="shared" si="1"/>
        <v/>
      </c>
      <c r="H63" s="36" t="str">
        <f t="shared" si="2"/>
        <v/>
      </c>
      <c r="I63" s="3" t="str">
        <f t="shared" si="3"/>
        <v/>
      </c>
      <c r="J63" s="36" t="str">
        <f t="shared" si="4"/>
        <v/>
      </c>
      <c r="K63" s="3" t="str">
        <f t="shared" si="5"/>
        <v/>
      </c>
      <c r="L63" s="3" t="str">
        <f t="shared" si="6"/>
        <v/>
      </c>
      <c r="M63" s="36" t="str">
        <f t="shared" si="7"/>
        <v/>
      </c>
      <c r="N63" s="36" t="str">
        <f>IFERROR(__xludf.DUMMYFUNCTION("IF(A63="""","""",RANK(M63,FILTER($M$11:$M$100,$A$11:$A$100&lt;&gt;""""),0))"),"")</f>
        <v/>
      </c>
      <c r="O63" s="36" t="str">
        <f t="shared" si="8"/>
        <v/>
      </c>
      <c r="P63" s="36" t="str">
        <f t="shared" si="9"/>
        <v/>
      </c>
      <c r="R63" s="36" t="str">
        <f t="shared" si="10"/>
        <v/>
      </c>
      <c r="S63" s="36" t="str">
        <f t="shared" si="11"/>
        <v/>
      </c>
      <c r="T63" s="36" t="str">
        <f>IFERROR(__xludf.DUMMYFUNCTION("IF(A63="""","""",RANK(F63,FILTER($F$11:$F$100,$A$11:$A$100&lt;&gt;""""),0))"),"")</f>
        <v/>
      </c>
      <c r="U63" s="36" t="str">
        <f>IFERROR(__xludf.DUMMYFUNCTION("IF(A63="""","""",RANK(
(F63*0.5+K63*0.5),
FILTER($F$11:$F$100*0.5+$K$11:$K$100*0.5,$A$11:$A$100&lt;&gt;""""),
0))"),"")</f>
        <v/>
      </c>
      <c r="V63" s="36" t="str">
        <f>IFERROR(__xludf.DUMMYFUNCTION("IF(A63="""","""",RANK(
(F63*0.65+L63*0.35),
FILTER($F$11:$F$100*0.65+$L$11:$L$100*0.35,$A$11:$A$100&lt;&gt;""""),
0))"),"")</f>
        <v/>
      </c>
    </row>
    <row r="64">
      <c r="B64" s="36"/>
      <c r="C64" s="36"/>
      <c r="G64" s="36" t="str">
        <f t="shared" si="1"/>
        <v/>
      </c>
      <c r="H64" s="36" t="str">
        <f t="shared" si="2"/>
        <v/>
      </c>
      <c r="I64" s="3" t="str">
        <f t="shared" si="3"/>
        <v/>
      </c>
      <c r="J64" s="36" t="str">
        <f t="shared" si="4"/>
        <v/>
      </c>
      <c r="K64" s="3" t="str">
        <f t="shared" si="5"/>
        <v/>
      </c>
      <c r="L64" s="3" t="str">
        <f t="shared" si="6"/>
        <v/>
      </c>
      <c r="M64" s="36" t="str">
        <f t="shared" si="7"/>
        <v/>
      </c>
      <c r="N64" s="36" t="str">
        <f>IFERROR(__xludf.DUMMYFUNCTION("IF(A64="""","""",RANK(M64,FILTER($M$11:$M$100,$A$11:$A$100&lt;&gt;""""),0))"),"")</f>
        <v/>
      </c>
      <c r="O64" s="36" t="str">
        <f t="shared" si="8"/>
        <v/>
      </c>
      <c r="P64" s="36" t="str">
        <f t="shared" si="9"/>
        <v/>
      </c>
      <c r="R64" s="36" t="str">
        <f t="shared" si="10"/>
        <v/>
      </c>
      <c r="S64" s="36" t="str">
        <f t="shared" si="11"/>
        <v/>
      </c>
      <c r="T64" s="36" t="str">
        <f>IFERROR(__xludf.DUMMYFUNCTION("IF(A64="""","""",RANK(F64,FILTER($F$11:$F$100,$A$11:$A$100&lt;&gt;""""),0))"),"")</f>
        <v/>
      </c>
      <c r="U64" s="36" t="str">
        <f>IFERROR(__xludf.DUMMYFUNCTION("IF(A64="""","""",RANK(
(F64*0.5+K64*0.5),
FILTER($F$11:$F$100*0.5+$K$11:$K$100*0.5,$A$11:$A$100&lt;&gt;""""),
0))"),"")</f>
        <v/>
      </c>
      <c r="V64" s="36" t="str">
        <f>IFERROR(__xludf.DUMMYFUNCTION("IF(A64="""","""",RANK(
(F64*0.65+L64*0.35),
FILTER($F$11:$F$100*0.65+$L$11:$L$100*0.35,$A$11:$A$100&lt;&gt;""""),
0))"),"")</f>
        <v/>
      </c>
    </row>
    <row r="65">
      <c r="B65" s="36"/>
      <c r="C65" s="36"/>
      <c r="G65" s="36" t="str">
        <f t="shared" si="1"/>
        <v/>
      </c>
      <c r="H65" s="36" t="str">
        <f t="shared" si="2"/>
        <v/>
      </c>
      <c r="I65" s="3" t="str">
        <f t="shared" si="3"/>
        <v/>
      </c>
      <c r="J65" s="36" t="str">
        <f t="shared" si="4"/>
        <v/>
      </c>
      <c r="K65" s="3" t="str">
        <f t="shared" si="5"/>
        <v/>
      </c>
      <c r="L65" s="3" t="str">
        <f t="shared" si="6"/>
        <v/>
      </c>
      <c r="M65" s="36" t="str">
        <f t="shared" si="7"/>
        <v/>
      </c>
      <c r="N65" s="36" t="str">
        <f>IFERROR(__xludf.DUMMYFUNCTION("IF(A65="""","""",RANK(M65,FILTER($M$11:$M$100,$A$11:$A$100&lt;&gt;""""),0))"),"")</f>
        <v/>
      </c>
      <c r="O65" s="36" t="str">
        <f t="shared" si="8"/>
        <v/>
      </c>
      <c r="P65" s="36" t="str">
        <f t="shared" si="9"/>
        <v/>
      </c>
      <c r="R65" s="36" t="str">
        <f t="shared" si="10"/>
        <v/>
      </c>
      <c r="S65" s="36" t="str">
        <f t="shared" si="11"/>
        <v/>
      </c>
      <c r="T65" s="36" t="str">
        <f>IFERROR(__xludf.DUMMYFUNCTION("IF(A65="""","""",RANK(F65,FILTER($F$11:$F$100,$A$11:$A$100&lt;&gt;""""),0))"),"")</f>
        <v/>
      </c>
      <c r="U65" s="36" t="str">
        <f>IFERROR(__xludf.DUMMYFUNCTION("IF(A65="""","""",RANK(
(F65*0.5+K65*0.5),
FILTER($F$11:$F$100*0.5+$K$11:$K$100*0.5,$A$11:$A$100&lt;&gt;""""),
0))"),"")</f>
        <v/>
      </c>
      <c r="V65" s="36" t="str">
        <f>IFERROR(__xludf.DUMMYFUNCTION("IF(A65="""","""",RANK(
(F65*0.65+L65*0.35),
FILTER($F$11:$F$100*0.65+$L$11:$L$100*0.35,$A$11:$A$100&lt;&gt;""""),
0))"),"")</f>
        <v/>
      </c>
    </row>
    <row r="66">
      <c r="B66" s="36"/>
      <c r="C66" s="36"/>
      <c r="G66" s="36" t="str">
        <f t="shared" si="1"/>
        <v/>
      </c>
      <c r="H66" s="36" t="str">
        <f t="shared" si="2"/>
        <v/>
      </c>
      <c r="I66" s="3" t="str">
        <f t="shared" si="3"/>
        <v/>
      </c>
      <c r="J66" s="36" t="str">
        <f t="shared" si="4"/>
        <v/>
      </c>
      <c r="K66" s="3" t="str">
        <f t="shared" si="5"/>
        <v/>
      </c>
      <c r="L66" s="3" t="str">
        <f t="shared" si="6"/>
        <v/>
      </c>
      <c r="M66" s="36" t="str">
        <f t="shared" si="7"/>
        <v/>
      </c>
      <c r="N66" s="36" t="str">
        <f>IFERROR(__xludf.DUMMYFUNCTION("IF(A66="""","""",RANK(M66,FILTER($M$11:$M$100,$A$11:$A$100&lt;&gt;""""),0))"),"")</f>
        <v/>
      </c>
      <c r="O66" s="36" t="str">
        <f t="shared" si="8"/>
        <v/>
      </c>
      <c r="P66" s="36" t="str">
        <f t="shared" si="9"/>
        <v/>
      </c>
      <c r="R66" s="36" t="str">
        <f t="shared" si="10"/>
        <v/>
      </c>
      <c r="S66" s="36" t="str">
        <f t="shared" si="11"/>
        <v/>
      </c>
      <c r="T66" s="36" t="str">
        <f>IFERROR(__xludf.DUMMYFUNCTION("IF(A66="""","""",RANK(F66,FILTER($F$11:$F$100,$A$11:$A$100&lt;&gt;""""),0))"),"")</f>
        <v/>
      </c>
      <c r="U66" s="36" t="str">
        <f>IFERROR(__xludf.DUMMYFUNCTION("IF(A66="""","""",RANK(
(F66*0.5+K66*0.5),
FILTER($F$11:$F$100*0.5+$K$11:$K$100*0.5,$A$11:$A$100&lt;&gt;""""),
0))"),"")</f>
        <v/>
      </c>
      <c r="V66" s="36" t="str">
        <f>IFERROR(__xludf.DUMMYFUNCTION("IF(A66="""","""",RANK(
(F66*0.65+L66*0.35),
FILTER($F$11:$F$100*0.65+$L$11:$L$100*0.35,$A$11:$A$100&lt;&gt;""""),
0))"),"")</f>
        <v/>
      </c>
    </row>
    <row r="67">
      <c r="B67" s="36"/>
      <c r="C67" s="36"/>
      <c r="G67" s="36" t="str">
        <f t="shared" si="1"/>
        <v/>
      </c>
      <c r="H67" s="36" t="str">
        <f t="shared" si="2"/>
        <v/>
      </c>
      <c r="I67" s="3" t="str">
        <f t="shared" si="3"/>
        <v/>
      </c>
      <c r="J67" s="36" t="str">
        <f t="shared" si="4"/>
        <v/>
      </c>
      <c r="K67" s="3" t="str">
        <f t="shared" si="5"/>
        <v/>
      </c>
      <c r="L67" s="3" t="str">
        <f t="shared" si="6"/>
        <v/>
      </c>
      <c r="M67" s="36" t="str">
        <f t="shared" si="7"/>
        <v/>
      </c>
      <c r="N67" s="36" t="str">
        <f>IFERROR(__xludf.DUMMYFUNCTION("IF(A67="""","""",RANK(M67,FILTER($M$11:$M$100,$A$11:$A$100&lt;&gt;""""),0))"),"")</f>
        <v/>
      </c>
      <c r="O67" s="36" t="str">
        <f t="shared" si="8"/>
        <v/>
      </c>
      <c r="P67" s="36" t="str">
        <f t="shared" si="9"/>
        <v/>
      </c>
      <c r="R67" s="36" t="str">
        <f t="shared" si="10"/>
        <v/>
      </c>
      <c r="S67" s="36" t="str">
        <f t="shared" si="11"/>
        <v/>
      </c>
      <c r="T67" s="36" t="str">
        <f>IFERROR(__xludf.DUMMYFUNCTION("IF(A67="""","""",RANK(F67,FILTER($F$11:$F$100,$A$11:$A$100&lt;&gt;""""),0))"),"")</f>
        <v/>
      </c>
      <c r="U67" s="36" t="str">
        <f>IFERROR(__xludf.DUMMYFUNCTION("IF(A67="""","""",RANK(
(F67*0.5+K67*0.5),
FILTER($F$11:$F$100*0.5+$K$11:$K$100*0.5,$A$11:$A$100&lt;&gt;""""),
0))"),"")</f>
        <v/>
      </c>
      <c r="V67" s="36" t="str">
        <f>IFERROR(__xludf.DUMMYFUNCTION("IF(A67="""","""",RANK(
(F67*0.45+L67*0.55),
FILTER($F$11:$F$100*0.45+$L$11:$L$100*0.55,$A$11:$A$100&lt;&gt;""""),
0))"),"")</f>
        <v/>
      </c>
    </row>
    <row r="68">
      <c r="B68" s="36"/>
      <c r="C68" s="36"/>
      <c r="G68" s="36" t="str">
        <f t="shared" si="1"/>
        <v/>
      </c>
      <c r="H68" s="36" t="str">
        <f t="shared" si="2"/>
        <v/>
      </c>
      <c r="I68" s="3" t="str">
        <f t="shared" si="3"/>
        <v/>
      </c>
      <c r="J68" s="36" t="str">
        <f t="shared" si="4"/>
        <v/>
      </c>
      <c r="K68" s="3" t="str">
        <f t="shared" si="5"/>
        <v/>
      </c>
      <c r="L68" s="3" t="str">
        <f t="shared" si="6"/>
        <v/>
      </c>
      <c r="M68" s="36" t="str">
        <f t="shared" si="7"/>
        <v/>
      </c>
      <c r="N68" s="36" t="str">
        <f>IFERROR(__xludf.DUMMYFUNCTION("IF(A68="""","""",RANK(M68,FILTER($M$11:$M$100,$A$11:$A$100&lt;&gt;""""),0))"),"")</f>
        <v/>
      </c>
      <c r="O68" s="36" t="str">
        <f t="shared" si="8"/>
        <v/>
      </c>
      <c r="P68" s="36" t="str">
        <f t="shared" si="9"/>
        <v/>
      </c>
      <c r="R68" s="36" t="str">
        <f t="shared" si="10"/>
        <v/>
      </c>
      <c r="S68" s="36" t="str">
        <f t="shared" si="11"/>
        <v/>
      </c>
      <c r="T68" s="36" t="str">
        <f>IFERROR(__xludf.DUMMYFUNCTION("IF(A68="""","""",RANK(F68,FILTER($F$11:$F$100,$A$11:$A$100&lt;&gt;""""),0))"),"")</f>
        <v/>
      </c>
      <c r="U68" s="36" t="str">
        <f>IFERROR(__xludf.DUMMYFUNCTION("IF(A68="""","""",RANK(
(F68*0.5+K68*0.5),
FILTER($F$11:$F$100*0.5+$K$11:$K$100*0.5,$A$11:$A$100&lt;&gt;""""),
0))"),"")</f>
        <v/>
      </c>
      <c r="V68" s="36" t="str">
        <f>IFERROR(__xludf.DUMMYFUNCTION("IF(A68="""","""",RANK(
(F68*0.45+L68*0.55),
FILTER($F$11:$F$100*0.45+$L$11:$L$100*0.55,$A$11:$A$100&lt;&gt;""""),
0))"),"")</f>
        <v/>
      </c>
    </row>
    <row r="69">
      <c r="B69" s="36"/>
      <c r="C69" s="36"/>
      <c r="G69" s="36" t="str">
        <f t="shared" si="1"/>
        <v/>
      </c>
      <c r="H69" s="36" t="str">
        <f t="shared" si="2"/>
        <v/>
      </c>
      <c r="I69" s="3" t="str">
        <f t="shared" si="3"/>
        <v/>
      </c>
      <c r="J69" s="36" t="str">
        <f t="shared" si="4"/>
        <v/>
      </c>
      <c r="K69" s="3" t="str">
        <f t="shared" si="5"/>
        <v/>
      </c>
      <c r="L69" s="3" t="str">
        <f t="shared" si="6"/>
        <v/>
      </c>
      <c r="M69" s="36" t="str">
        <f t="shared" si="7"/>
        <v/>
      </c>
      <c r="N69" s="36" t="str">
        <f>IFERROR(__xludf.DUMMYFUNCTION("IF(A69="""","""",RANK(M69,FILTER($M$11:$M$100,$A$11:$A$100&lt;&gt;""""),0))"),"")</f>
        <v/>
      </c>
      <c r="O69" s="36" t="str">
        <f t="shared" si="8"/>
        <v/>
      </c>
      <c r="P69" s="36" t="str">
        <f t="shared" si="9"/>
        <v/>
      </c>
      <c r="R69" s="36" t="str">
        <f t="shared" si="10"/>
        <v/>
      </c>
      <c r="S69" s="36" t="str">
        <f t="shared" si="11"/>
        <v/>
      </c>
      <c r="T69" s="36" t="str">
        <f>IFERROR(__xludf.DUMMYFUNCTION("IF(A69="""","""",RANK(F69,FILTER($F$11:$F$100,$A$11:$A$100&lt;&gt;""""),0))"),"")</f>
        <v/>
      </c>
      <c r="U69" s="36" t="str">
        <f>IFERROR(__xludf.DUMMYFUNCTION("IF(A69="""","""",RANK(
(F69*0.5+K69*0.5),
FILTER($F$11:$F$100*0.5+$K$11:$K$100*0.5,$A$11:$A$100&lt;&gt;""""),
0))"),"")</f>
        <v/>
      </c>
      <c r="V69" s="36" t="str">
        <f>IFERROR(__xludf.DUMMYFUNCTION("IF(A69="""","""",RANK(
(F69*0.45+L69*0.55),
FILTER($F$11:$F$100*0.45+$L$11:$L$100*0.55,$A$11:$A$100&lt;&gt;""""),
0))"),"")</f>
        <v/>
      </c>
    </row>
    <row r="70">
      <c r="B70" s="36"/>
      <c r="C70" s="36"/>
      <c r="G70" s="36" t="str">
        <f t="shared" si="1"/>
        <v/>
      </c>
      <c r="H70" s="36" t="str">
        <f t="shared" si="2"/>
        <v/>
      </c>
      <c r="I70" s="3" t="str">
        <f t="shared" si="3"/>
        <v/>
      </c>
      <c r="J70" s="36" t="str">
        <f t="shared" si="4"/>
        <v/>
      </c>
      <c r="K70" s="3" t="str">
        <f t="shared" si="5"/>
        <v/>
      </c>
      <c r="L70" s="3" t="str">
        <f t="shared" si="6"/>
        <v/>
      </c>
      <c r="M70" s="36" t="str">
        <f t="shared" si="7"/>
        <v/>
      </c>
      <c r="N70" s="36" t="str">
        <f>IFERROR(__xludf.DUMMYFUNCTION("IF(A70="""","""",RANK(M70,FILTER($M$11:$M$100,$A$11:$A$100&lt;&gt;""""),0))"),"")</f>
        <v/>
      </c>
      <c r="O70" s="36" t="str">
        <f t="shared" si="8"/>
        <v/>
      </c>
      <c r="P70" s="36" t="str">
        <f t="shared" si="9"/>
        <v/>
      </c>
      <c r="R70" s="36" t="str">
        <f t="shared" si="10"/>
        <v/>
      </c>
      <c r="S70" s="36" t="str">
        <f t="shared" si="11"/>
        <v/>
      </c>
      <c r="T70" s="36" t="str">
        <f>IFERROR(__xludf.DUMMYFUNCTION("IF(A70="""","""",RANK(F70,FILTER($F$11:$F$100,$A$11:$A$100&lt;&gt;""""),0))"),"")</f>
        <v/>
      </c>
      <c r="U70" s="36" t="str">
        <f>IFERROR(__xludf.DUMMYFUNCTION("IF(A70="""","""",RANK(
(F70*0.5+K70*0.5),
FILTER($F$11:$F$100*0.5+$K$11:$K$100*0.5,$A$11:$A$100&lt;&gt;""""),
0))"),"")</f>
        <v/>
      </c>
      <c r="V70" s="36" t="str">
        <f>IFERROR(__xludf.DUMMYFUNCTION("IF(A70="""","""",RANK(
(F70*0.45+L70*0.55),
FILTER($F$11:$F$100*0.45+$L$11:$L$100*0.55,$A$11:$A$100&lt;&gt;""""),
0))"),"")</f>
        <v/>
      </c>
    </row>
    <row r="71">
      <c r="B71" s="36"/>
      <c r="C71" s="36"/>
      <c r="G71" s="36" t="str">
        <f t="shared" si="1"/>
        <v/>
      </c>
      <c r="H71" s="36" t="str">
        <f t="shared" si="2"/>
        <v/>
      </c>
      <c r="I71" s="3" t="str">
        <f t="shared" si="3"/>
        <v/>
      </c>
      <c r="J71" s="36" t="str">
        <f t="shared" si="4"/>
        <v/>
      </c>
      <c r="K71" s="3" t="str">
        <f t="shared" si="5"/>
        <v/>
      </c>
      <c r="L71" s="3" t="str">
        <f t="shared" si="6"/>
        <v/>
      </c>
      <c r="M71" s="36" t="str">
        <f t="shared" si="7"/>
        <v/>
      </c>
      <c r="N71" s="36" t="str">
        <f>IFERROR(__xludf.DUMMYFUNCTION("IF(A71="""","""",RANK(M71,FILTER($M$11:$M$100,$A$11:$A$100&lt;&gt;""""),0))"),"")</f>
        <v/>
      </c>
      <c r="O71" s="36" t="str">
        <f t="shared" si="8"/>
        <v/>
      </c>
      <c r="P71" s="36" t="str">
        <f t="shared" si="9"/>
        <v/>
      </c>
      <c r="R71" s="36" t="str">
        <f t="shared" si="10"/>
        <v/>
      </c>
      <c r="S71" s="36" t="str">
        <f t="shared" si="11"/>
        <v/>
      </c>
      <c r="T71" s="36" t="str">
        <f>IFERROR(__xludf.DUMMYFUNCTION("IF(A71="""","""",RANK(F71,FILTER($F$11:$F$100,$A$11:$A$100&lt;&gt;""""),0))"),"")</f>
        <v/>
      </c>
      <c r="U71" s="36" t="str">
        <f>IFERROR(__xludf.DUMMYFUNCTION("IF(A71="""","""",RANK(
(F71*0.5+K71*0.5),
FILTER($F$11:$F$100*0.5+$K$11:$K$100*0.5,$A$11:$A$100&lt;&gt;""""),
0))"),"")</f>
        <v/>
      </c>
      <c r="V71" s="36" t="str">
        <f>IFERROR(__xludf.DUMMYFUNCTION("IF(A71="""","""",RANK(
(F71*0.45+L71*0.55),
FILTER($F$11:$F$100*0.45+$L$11:$L$100*0.55,$A$11:$A$100&lt;&gt;""""),
0))"),"")</f>
        <v/>
      </c>
    </row>
    <row r="72">
      <c r="B72" s="36"/>
      <c r="C72" s="36"/>
      <c r="G72" s="36" t="str">
        <f t="shared" si="1"/>
        <v/>
      </c>
      <c r="H72" s="36" t="str">
        <f t="shared" si="2"/>
        <v/>
      </c>
      <c r="I72" s="3" t="str">
        <f t="shared" si="3"/>
        <v/>
      </c>
      <c r="J72" s="36" t="str">
        <f t="shared" si="4"/>
        <v/>
      </c>
      <c r="K72" s="3" t="str">
        <f t="shared" si="5"/>
        <v/>
      </c>
      <c r="L72" s="3" t="str">
        <f t="shared" si="6"/>
        <v/>
      </c>
      <c r="M72" s="36" t="str">
        <f t="shared" si="7"/>
        <v/>
      </c>
      <c r="N72" s="36" t="str">
        <f>IFERROR(__xludf.DUMMYFUNCTION("IF(A72="""","""",RANK(M72,FILTER($M$11:$M$100,$A$11:$A$100&lt;&gt;""""),0))"),"")</f>
        <v/>
      </c>
      <c r="O72" s="36" t="str">
        <f t="shared" si="8"/>
        <v/>
      </c>
      <c r="P72" s="36" t="str">
        <f t="shared" si="9"/>
        <v/>
      </c>
      <c r="R72" s="36" t="str">
        <f t="shared" si="10"/>
        <v/>
      </c>
      <c r="S72" s="36" t="str">
        <f t="shared" si="11"/>
        <v/>
      </c>
      <c r="T72" s="36" t="str">
        <f>IFERROR(__xludf.DUMMYFUNCTION("IF(A72="""","""",RANK(F72,FILTER($F$11:$F$100,$A$11:$A$100&lt;&gt;""""),0))"),"")</f>
        <v/>
      </c>
      <c r="U72" s="36" t="str">
        <f>IFERROR(__xludf.DUMMYFUNCTION("IF(A72="""","""",RANK(
(F72*0.5+K72*0.5),
FILTER($F$11:$F$100*0.5+$K$11:$K$100*0.5,$A$11:$A$100&lt;&gt;""""),
0))"),"")</f>
        <v/>
      </c>
      <c r="V72" s="36" t="str">
        <f>IFERROR(__xludf.DUMMYFUNCTION("IF(A72="""","""",RANK(
(F72*0.45+L72*0.55),
FILTER($F$11:$F$100*0.45+$L$11:$L$100*0.55,$A$11:$A$100&lt;&gt;""""),
0))"),"")</f>
        <v/>
      </c>
    </row>
    <row r="73">
      <c r="B73" s="36"/>
      <c r="C73" s="36"/>
      <c r="G73" s="36" t="str">
        <f t="shared" si="1"/>
        <v/>
      </c>
      <c r="H73" s="36" t="str">
        <f t="shared" si="2"/>
        <v/>
      </c>
      <c r="I73" s="3" t="str">
        <f t="shared" si="3"/>
        <v/>
      </c>
      <c r="J73" s="36" t="str">
        <f t="shared" si="4"/>
        <v/>
      </c>
      <c r="K73" s="3" t="str">
        <f t="shared" si="5"/>
        <v/>
      </c>
      <c r="L73" s="3" t="str">
        <f t="shared" si="6"/>
        <v/>
      </c>
      <c r="M73" s="36" t="str">
        <f t="shared" si="7"/>
        <v/>
      </c>
      <c r="N73" s="36" t="str">
        <f>IFERROR(__xludf.DUMMYFUNCTION("IF(A73="""","""",RANK(M73,FILTER($M$11:$M$100,$A$11:$A$100&lt;&gt;""""),0))"),"")</f>
        <v/>
      </c>
      <c r="O73" s="36" t="str">
        <f t="shared" si="8"/>
        <v/>
      </c>
      <c r="P73" s="36" t="str">
        <f t="shared" si="9"/>
        <v/>
      </c>
      <c r="R73" s="36" t="str">
        <f t="shared" si="10"/>
        <v/>
      </c>
      <c r="S73" s="36" t="str">
        <f t="shared" si="11"/>
        <v/>
      </c>
      <c r="T73" s="36" t="str">
        <f>IFERROR(__xludf.DUMMYFUNCTION("IF(A73="""","""",RANK(F73,FILTER($F$11:$F$100,$A$11:$A$100&lt;&gt;""""),0))"),"")</f>
        <v/>
      </c>
      <c r="U73" s="36" t="str">
        <f>IFERROR(__xludf.DUMMYFUNCTION("IF(A73="""","""",RANK(
(F73*0.5+K73*0.5),
FILTER($F$11:$F$100*0.5+$K$11:$K$100*0.5,$A$11:$A$100&lt;&gt;""""),
0))"),"")</f>
        <v/>
      </c>
      <c r="V73" s="36" t="str">
        <f>IFERROR(__xludf.DUMMYFUNCTION("IF(A73="""","""",RANK(
(F73*0.45+L73*0.55),
FILTER($F$11:$F$100*0.45+$L$11:$L$100*0.55,$A$11:$A$100&lt;&gt;""""),
0))"),"")</f>
        <v/>
      </c>
    </row>
    <row r="74">
      <c r="B74" s="36"/>
      <c r="C74" s="36"/>
      <c r="G74" s="36" t="str">
        <f t="shared" si="1"/>
        <v/>
      </c>
      <c r="H74" s="36" t="str">
        <f t="shared" si="2"/>
        <v/>
      </c>
      <c r="I74" s="3" t="str">
        <f t="shared" si="3"/>
        <v/>
      </c>
      <c r="J74" s="36" t="str">
        <f t="shared" si="4"/>
        <v/>
      </c>
      <c r="K74" s="3" t="str">
        <f t="shared" si="5"/>
        <v/>
      </c>
      <c r="L74" s="3" t="str">
        <f t="shared" si="6"/>
        <v/>
      </c>
      <c r="M74" s="36" t="str">
        <f t="shared" si="7"/>
        <v/>
      </c>
      <c r="N74" s="36" t="str">
        <f>IFERROR(__xludf.DUMMYFUNCTION("IF(A74="""","""",RANK(M74,FILTER($M$11:$M$100,$A$11:$A$100&lt;&gt;""""),0))"),"")</f>
        <v/>
      </c>
      <c r="O74" s="36" t="str">
        <f t="shared" si="8"/>
        <v/>
      </c>
      <c r="P74" s="36" t="str">
        <f t="shared" si="9"/>
        <v/>
      </c>
      <c r="R74" s="36" t="str">
        <f t="shared" si="10"/>
        <v/>
      </c>
      <c r="S74" s="36" t="str">
        <f t="shared" si="11"/>
        <v/>
      </c>
      <c r="T74" s="36" t="str">
        <f>IFERROR(__xludf.DUMMYFUNCTION("IF(A74="""","""",RANK(F74,FILTER($F$11:$F$100,$A$11:$A$100&lt;&gt;""""),0))"),"")</f>
        <v/>
      </c>
      <c r="U74" s="36" t="str">
        <f>IFERROR(__xludf.DUMMYFUNCTION("IF(A74="""","""",RANK(
(F74*0.5+K74*0.5),
FILTER($F$11:$F$100*0.5+$K$11:$K$100*0.5,$A$11:$A$100&lt;&gt;""""),
0))"),"")</f>
        <v/>
      </c>
      <c r="V74" s="36" t="str">
        <f>IFERROR(__xludf.DUMMYFUNCTION("IF(A74="""","""",RANK(
(F74*0.45+L74*0.55),
FILTER($F$11:$F$100*0.45+$L$11:$L$100*0.55,$A$11:$A$100&lt;&gt;""""),
0))"),"")</f>
        <v/>
      </c>
    </row>
    <row r="75">
      <c r="B75" s="36"/>
      <c r="C75" s="36"/>
      <c r="G75" s="36" t="str">
        <f t="shared" si="1"/>
        <v/>
      </c>
      <c r="H75" s="36" t="str">
        <f t="shared" si="2"/>
        <v/>
      </c>
      <c r="I75" s="3" t="str">
        <f t="shared" si="3"/>
        <v/>
      </c>
      <c r="J75" s="36" t="str">
        <f t="shared" si="4"/>
        <v/>
      </c>
      <c r="K75" s="3" t="str">
        <f t="shared" si="5"/>
        <v/>
      </c>
      <c r="L75" s="3" t="str">
        <f t="shared" si="6"/>
        <v/>
      </c>
      <c r="M75" s="36" t="str">
        <f t="shared" si="7"/>
        <v/>
      </c>
      <c r="N75" s="36" t="str">
        <f>IFERROR(__xludf.DUMMYFUNCTION("IF(A75="""","""",RANK(M75,FILTER($M$11:$M$100,$A$11:$A$100&lt;&gt;""""),0))"),"")</f>
        <v/>
      </c>
      <c r="O75" s="36" t="str">
        <f t="shared" si="8"/>
        <v/>
      </c>
      <c r="P75" s="36" t="str">
        <f t="shared" si="9"/>
        <v/>
      </c>
      <c r="R75" s="36" t="str">
        <f t="shared" si="10"/>
        <v/>
      </c>
      <c r="S75" s="36" t="str">
        <f t="shared" si="11"/>
        <v/>
      </c>
      <c r="T75" s="36" t="str">
        <f>IFERROR(__xludf.DUMMYFUNCTION("IF(A75="""","""",RANK(F75,FILTER($F$11:$F$100,$A$11:$A$100&lt;&gt;""""),0))"),"")</f>
        <v/>
      </c>
      <c r="U75" s="36" t="str">
        <f>IFERROR(__xludf.DUMMYFUNCTION("IF(A75="""","""",RANK(
(F75*0.5+K75*0.5),
FILTER($F$11:$F$100*0.5+$K$11:$K$100*0.5,$A$11:$A$100&lt;&gt;""""),
0))"),"")</f>
        <v/>
      </c>
      <c r="V75" s="36" t="str">
        <f>IFERROR(__xludf.DUMMYFUNCTION("IF(A75="""","""",RANK(
(F75*0.45+L75*0.55),
FILTER($F$11:$F$100*0.45+$L$11:$L$100*0.55,$A$11:$A$100&lt;&gt;""""),
0))"),"")</f>
        <v/>
      </c>
    </row>
    <row r="76">
      <c r="B76" s="36"/>
      <c r="C76" s="36"/>
      <c r="G76" s="36" t="str">
        <f t="shared" si="1"/>
        <v/>
      </c>
      <c r="H76" s="36" t="str">
        <f t="shared" si="2"/>
        <v/>
      </c>
      <c r="I76" s="3" t="str">
        <f t="shared" si="3"/>
        <v/>
      </c>
      <c r="J76" s="36" t="str">
        <f t="shared" si="4"/>
        <v/>
      </c>
      <c r="K76" s="3" t="str">
        <f t="shared" si="5"/>
        <v/>
      </c>
      <c r="L76" s="3" t="str">
        <f t="shared" si="6"/>
        <v/>
      </c>
      <c r="M76" s="36" t="str">
        <f t="shared" si="7"/>
        <v/>
      </c>
      <c r="N76" s="36" t="str">
        <f>IFERROR(__xludf.DUMMYFUNCTION("IF(A76="""","""",RANK(M76,FILTER($M$11:$M$100,$A$11:$A$100&lt;&gt;""""),0))"),"")</f>
        <v/>
      </c>
      <c r="O76" s="36" t="str">
        <f t="shared" si="8"/>
        <v/>
      </c>
      <c r="P76" s="36" t="str">
        <f t="shared" si="9"/>
        <v/>
      </c>
      <c r="R76" s="36" t="str">
        <f t="shared" si="10"/>
        <v/>
      </c>
      <c r="S76" s="36" t="str">
        <f t="shared" si="11"/>
        <v/>
      </c>
      <c r="T76" s="36" t="str">
        <f>IFERROR(__xludf.DUMMYFUNCTION("IF(A76="""","""",RANK(F76,FILTER($F$11:$F$100,$A$11:$A$100&lt;&gt;""""),0))"),"")</f>
        <v/>
      </c>
      <c r="U76" s="36" t="str">
        <f>IFERROR(__xludf.DUMMYFUNCTION("IF(A76="""","""",RANK(
(F76*0.5+K76*0.5),
FILTER($F$11:$F$100*0.5+$K$11:$K$100*0.5,$A$11:$A$100&lt;&gt;""""),
0))"),"")</f>
        <v/>
      </c>
      <c r="V76" s="36" t="str">
        <f>IFERROR(__xludf.DUMMYFUNCTION("IF(A76="""","""",RANK(
(F76*0.45+L76*0.55),
FILTER($F$11:$F$100*0.45+$L$11:$L$100*0.55,$A$11:$A$100&lt;&gt;""""),
0))"),"")</f>
        <v/>
      </c>
    </row>
    <row r="77">
      <c r="B77" s="36"/>
      <c r="C77" s="36"/>
      <c r="G77" s="36" t="str">
        <f t="shared" si="1"/>
        <v/>
      </c>
      <c r="H77" s="36" t="str">
        <f t="shared" si="2"/>
        <v/>
      </c>
      <c r="I77" s="3" t="str">
        <f t="shared" si="3"/>
        <v/>
      </c>
      <c r="J77" s="36" t="str">
        <f t="shared" si="4"/>
        <v/>
      </c>
      <c r="K77" s="3" t="str">
        <f t="shared" si="5"/>
        <v/>
      </c>
      <c r="L77" s="3" t="str">
        <f t="shared" si="6"/>
        <v/>
      </c>
      <c r="M77" s="36" t="str">
        <f t="shared" si="7"/>
        <v/>
      </c>
      <c r="N77" s="36" t="str">
        <f>IFERROR(__xludf.DUMMYFUNCTION("IF(A77="""","""",RANK(M77,FILTER($M$11:$M$100,$A$11:$A$100&lt;&gt;""""),0))"),"")</f>
        <v/>
      </c>
      <c r="O77" s="36" t="str">
        <f t="shared" si="8"/>
        <v/>
      </c>
      <c r="P77" s="36" t="str">
        <f t="shared" si="9"/>
        <v/>
      </c>
      <c r="R77" s="36" t="str">
        <f t="shared" si="10"/>
        <v/>
      </c>
      <c r="S77" s="36" t="str">
        <f t="shared" si="11"/>
        <v/>
      </c>
      <c r="T77" s="36" t="str">
        <f>IFERROR(__xludf.DUMMYFUNCTION("IF(A77="""","""",RANK(F77,FILTER($F$11:$F$100,$A$11:$A$100&lt;&gt;""""),0))"),"")</f>
        <v/>
      </c>
      <c r="U77" s="36" t="str">
        <f>IFERROR(__xludf.DUMMYFUNCTION("IF(A77="""","""",RANK(
(F77*0.5+K77*0.5),
FILTER($F$11:$F$100*0.5+$K$11:$K$100*0.5,$A$11:$A$100&lt;&gt;""""),
0))"),"")</f>
        <v/>
      </c>
      <c r="V77" s="36" t="str">
        <f>IFERROR(__xludf.DUMMYFUNCTION("IF(A77="""","""",RANK(
(F77*0.45+L77*0.55),
FILTER($F$11:$F$100*0.45+$L$11:$L$100*0.55,$A$11:$A$100&lt;&gt;""""),
0))"),"")</f>
        <v/>
      </c>
    </row>
    <row r="78">
      <c r="B78" s="36"/>
      <c r="C78" s="36"/>
      <c r="G78" s="36" t="str">
        <f t="shared" si="1"/>
        <v/>
      </c>
      <c r="H78" s="36" t="str">
        <f t="shared" si="2"/>
        <v/>
      </c>
      <c r="I78" s="3" t="str">
        <f t="shared" si="3"/>
        <v/>
      </c>
      <c r="J78" s="36" t="str">
        <f t="shared" si="4"/>
        <v/>
      </c>
      <c r="K78" s="3" t="str">
        <f t="shared" si="5"/>
        <v/>
      </c>
      <c r="L78" s="3" t="str">
        <f t="shared" si="6"/>
        <v/>
      </c>
      <c r="M78" s="36" t="str">
        <f t="shared" si="7"/>
        <v/>
      </c>
      <c r="N78" s="36" t="str">
        <f>IFERROR(__xludf.DUMMYFUNCTION("IF(A78="""","""",RANK(M78,FILTER($M$11:$M$100,$A$11:$A$100&lt;&gt;""""),0))"),"")</f>
        <v/>
      </c>
      <c r="O78" s="36" t="str">
        <f t="shared" si="8"/>
        <v/>
      </c>
      <c r="P78" s="36" t="str">
        <f t="shared" si="9"/>
        <v/>
      </c>
      <c r="R78" s="36" t="str">
        <f t="shared" si="10"/>
        <v/>
      </c>
      <c r="S78" s="36" t="str">
        <f t="shared" si="11"/>
        <v/>
      </c>
      <c r="T78" s="36" t="str">
        <f>IFERROR(__xludf.DUMMYFUNCTION("IF(A78="""","""",RANK(F78,FILTER($F$11:$F$100,$A$11:$A$100&lt;&gt;""""),0))"),"")</f>
        <v/>
      </c>
      <c r="U78" s="36" t="str">
        <f>IFERROR(__xludf.DUMMYFUNCTION("IF(A78="""","""",RANK(
(F78*0.5+K78*0.5),
FILTER($F$11:$F$100*0.5+$K$11:$K$100*0.5,$A$11:$A$100&lt;&gt;""""),
0))"),"")</f>
        <v/>
      </c>
      <c r="V78" s="36" t="str">
        <f>IFERROR(__xludf.DUMMYFUNCTION("IF(A78="""","""",RANK(
(F78*0.45+L78*0.55),
FILTER($F$11:$F$100*0.45+$L$11:$L$100*0.55,$A$11:$A$100&lt;&gt;""""),
0))"),"")</f>
        <v/>
      </c>
    </row>
    <row r="79">
      <c r="B79" s="36"/>
      <c r="C79" s="36"/>
      <c r="G79" s="36" t="str">
        <f t="shared" si="1"/>
        <v/>
      </c>
      <c r="H79" s="36" t="str">
        <f t="shared" si="2"/>
        <v/>
      </c>
      <c r="I79" s="3" t="str">
        <f t="shared" si="3"/>
        <v/>
      </c>
      <c r="J79" s="36" t="str">
        <f t="shared" si="4"/>
        <v/>
      </c>
      <c r="K79" s="3" t="str">
        <f t="shared" si="5"/>
        <v/>
      </c>
      <c r="L79" s="3" t="str">
        <f t="shared" si="6"/>
        <v/>
      </c>
      <c r="M79" s="36" t="str">
        <f t="shared" si="7"/>
        <v/>
      </c>
      <c r="N79" s="36" t="str">
        <f>IFERROR(__xludf.DUMMYFUNCTION("IF(A79="""","""",RANK(M79,FILTER($M$11:$M$100,$A$11:$A$100&lt;&gt;""""),0))"),"")</f>
        <v/>
      </c>
      <c r="O79" s="36" t="str">
        <f t="shared" si="8"/>
        <v/>
      </c>
      <c r="P79" s="36" t="str">
        <f t="shared" si="9"/>
        <v/>
      </c>
      <c r="R79" s="36" t="str">
        <f t="shared" si="10"/>
        <v/>
      </c>
      <c r="S79" s="36" t="str">
        <f t="shared" si="11"/>
        <v/>
      </c>
      <c r="T79" s="36" t="str">
        <f>IFERROR(__xludf.DUMMYFUNCTION("IF(A79="""","""",RANK(F79,FILTER($F$11:$F$100,$A$11:$A$100&lt;&gt;""""),0))"),"")</f>
        <v/>
      </c>
      <c r="U79" s="36" t="str">
        <f>IFERROR(__xludf.DUMMYFUNCTION("IF(A79="""","""",RANK(
(F79*0.5+K79*0.5),
FILTER($F$11:$F$100*0.5+$K$11:$K$100*0.5,$A$11:$A$100&lt;&gt;""""),
0))"),"")</f>
        <v/>
      </c>
      <c r="V79" s="36" t="str">
        <f>IFERROR(__xludf.DUMMYFUNCTION("IF(A79="""","""",RANK(
(F79*0.45+L79*0.55),
FILTER($F$11:$F$100*0.45+$L$11:$L$100*0.55,$A$11:$A$100&lt;&gt;""""),
0))"),"")</f>
        <v/>
      </c>
    </row>
    <row r="80">
      <c r="B80" s="36"/>
      <c r="C80" s="36"/>
      <c r="G80" s="36" t="str">
        <f t="shared" si="1"/>
        <v/>
      </c>
      <c r="H80" s="36" t="str">
        <f t="shared" si="2"/>
        <v/>
      </c>
      <c r="I80" s="3" t="str">
        <f t="shared" si="3"/>
        <v/>
      </c>
      <c r="J80" s="36" t="str">
        <f t="shared" si="4"/>
        <v/>
      </c>
      <c r="K80" s="3" t="str">
        <f t="shared" si="5"/>
        <v/>
      </c>
      <c r="L80" s="3" t="str">
        <f t="shared" si="6"/>
        <v/>
      </c>
      <c r="M80" s="36" t="str">
        <f t="shared" si="7"/>
        <v/>
      </c>
      <c r="N80" s="36" t="str">
        <f>IFERROR(__xludf.DUMMYFUNCTION("IF(A80="""","""",RANK(M80,FILTER($M$11:$M$100,$A$11:$A$100&lt;&gt;""""),0))"),"")</f>
        <v/>
      </c>
      <c r="O80" s="36" t="str">
        <f t="shared" si="8"/>
        <v/>
      </c>
      <c r="P80" s="36" t="str">
        <f t="shared" si="9"/>
        <v/>
      </c>
      <c r="R80" s="36" t="str">
        <f t="shared" si="10"/>
        <v/>
      </c>
      <c r="S80" s="36" t="str">
        <f t="shared" si="11"/>
        <v/>
      </c>
      <c r="T80" s="36" t="str">
        <f>IFERROR(__xludf.DUMMYFUNCTION("IF(A80="""","""",RANK(F80,FILTER($F$11:$F$100,$A$11:$A$100&lt;&gt;""""),0))"),"")</f>
        <v/>
      </c>
      <c r="U80" s="36" t="str">
        <f>IFERROR(__xludf.DUMMYFUNCTION("IF(A80="""","""",RANK(
(F80*0.5+K80*0.5),
FILTER($F$11:$F$100*0.5+$K$11:$K$100*0.5,$A$11:$A$100&lt;&gt;""""),
0))"),"")</f>
        <v/>
      </c>
      <c r="V80" s="36" t="str">
        <f>IFERROR(__xludf.DUMMYFUNCTION("IF(A80="""","""",RANK(
(F80*0.45+L80*0.55),
FILTER($F$11:$F$100*0.45+$L$11:$L$100*0.55,$A$11:$A$100&lt;&gt;""""),
0))"),"")</f>
        <v/>
      </c>
    </row>
    <row r="81">
      <c r="B81" s="36"/>
      <c r="C81" s="36"/>
      <c r="G81" s="36" t="str">
        <f t="shared" si="1"/>
        <v/>
      </c>
      <c r="H81" s="36" t="str">
        <f t="shared" si="2"/>
        <v/>
      </c>
      <c r="I81" s="3" t="str">
        <f t="shared" si="3"/>
        <v/>
      </c>
      <c r="J81" s="36" t="str">
        <f t="shared" si="4"/>
        <v/>
      </c>
      <c r="K81" s="3" t="str">
        <f t="shared" si="5"/>
        <v/>
      </c>
      <c r="L81" s="3" t="str">
        <f t="shared" si="6"/>
        <v/>
      </c>
      <c r="M81" s="36" t="str">
        <f t="shared" si="7"/>
        <v/>
      </c>
      <c r="N81" s="36" t="str">
        <f>IFERROR(__xludf.DUMMYFUNCTION("IF(A81="""","""",RANK(M81,FILTER($M$11:$M$100,$A$11:$A$100&lt;&gt;""""),0))"),"")</f>
        <v/>
      </c>
      <c r="O81" s="36" t="str">
        <f t="shared" si="8"/>
        <v/>
      </c>
      <c r="P81" s="36" t="str">
        <f t="shared" si="9"/>
        <v/>
      </c>
      <c r="R81" s="36" t="str">
        <f t="shared" si="10"/>
        <v/>
      </c>
      <c r="S81" s="36" t="str">
        <f t="shared" si="11"/>
        <v/>
      </c>
      <c r="T81" s="36" t="str">
        <f>IFERROR(__xludf.DUMMYFUNCTION("IF(A81="""","""",RANK(F81,FILTER($F$11:$F$100,$A$11:$A$100&lt;&gt;""""),0))"),"")</f>
        <v/>
      </c>
      <c r="U81" s="36" t="str">
        <f>IFERROR(__xludf.DUMMYFUNCTION("IF(A81="""","""",RANK(
(F81*0.5+K81*0.5),
FILTER($F$11:$F$100*0.5+$K$11:$K$100*0.5,$A$11:$A$100&lt;&gt;""""),
0))"),"")</f>
        <v/>
      </c>
      <c r="V81" s="36" t="str">
        <f>IFERROR(__xludf.DUMMYFUNCTION("IF(A81="""","""",RANK(
(F81*0.45+L81*0.55),
FILTER($F$11:$F$100*0.45+$L$11:$L$100*0.55,$A$11:$A$100&lt;&gt;""""),
0))"),"")</f>
        <v/>
      </c>
    </row>
    <row r="82">
      <c r="B82" s="36"/>
      <c r="C82" s="36"/>
      <c r="G82" s="36" t="str">
        <f t="shared" si="1"/>
        <v/>
      </c>
      <c r="H82" s="36" t="str">
        <f t="shared" si="2"/>
        <v/>
      </c>
      <c r="I82" s="3" t="str">
        <f t="shared" si="3"/>
        <v/>
      </c>
      <c r="J82" s="36" t="str">
        <f t="shared" si="4"/>
        <v/>
      </c>
      <c r="K82" s="3" t="str">
        <f t="shared" si="5"/>
        <v/>
      </c>
      <c r="L82" s="3" t="str">
        <f t="shared" si="6"/>
        <v/>
      </c>
      <c r="M82" s="36" t="str">
        <f t="shared" si="7"/>
        <v/>
      </c>
      <c r="N82" s="36" t="str">
        <f>IFERROR(__xludf.DUMMYFUNCTION("IF(A82="""","""",RANK(M82,FILTER($M$11:$M$100,$A$11:$A$100&lt;&gt;""""),0))"),"")</f>
        <v/>
      </c>
      <c r="O82" s="36" t="str">
        <f t="shared" si="8"/>
        <v/>
      </c>
      <c r="P82" s="36" t="str">
        <f t="shared" si="9"/>
        <v/>
      </c>
      <c r="R82" s="36" t="str">
        <f t="shared" si="10"/>
        <v/>
      </c>
      <c r="S82" s="36" t="str">
        <f t="shared" si="11"/>
        <v/>
      </c>
      <c r="T82" s="36" t="str">
        <f>IFERROR(__xludf.DUMMYFUNCTION("IF(A82="""","""",RANK(F82,FILTER($F$11:$F$100,$A$11:$A$100&lt;&gt;""""),0))"),"")</f>
        <v/>
      </c>
      <c r="U82" s="36" t="str">
        <f>IFERROR(__xludf.DUMMYFUNCTION("IF(A82="""","""",RANK(
(F82*0.5+K82*0.5),
FILTER($F$11:$F$100*0.5+$K$11:$K$100*0.5,$A$11:$A$100&lt;&gt;""""),
0))"),"")</f>
        <v/>
      </c>
      <c r="V82" s="36" t="str">
        <f>IFERROR(__xludf.DUMMYFUNCTION("IF(A82="""","""",RANK(
(F82*0.45+L82*0.55),
FILTER($F$11:$F$100*0.45+$L$11:$L$100*0.55,$A$11:$A$100&lt;&gt;""""),
0))"),"")</f>
        <v/>
      </c>
    </row>
    <row r="83">
      <c r="B83" s="36"/>
      <c r="C83" s="36"/>
      <c r="G83" s="36" t="str">
        <f t="shared" si="1"/>
        <v/>
      </c>
      <c r="H83" s="36" t="str">
        <f t="shared" si="2"/>
        <v/>
      </c>
      <c r="I83" s="3" t="str">
        <f t="shared" ref="I83:I88" si="12">IF(A83="","",ROUND(MAX(1,MIN(10,(11-G83)*0.4+(11-H83)*0.4+(E83/10*10)*0.2)),1))</f>
        <v/>
      </c>
      <c r="J83" s="36" t="str">
        <f t="shared" si="4"/>
        <v/>
      </c>
      <c r="K83" s="3" t="str">
        <f t="shared" si="5"/>
        <v/>
      </c>
      <c r="L83" s="3" t="str">
        <f t="shared" si="6"/>
        <v/>
      </c>
      <c r="M83" s="36" t="str">
        <f t="shared" si="7"/>
        <v/>
      </c>
      <c r="N83" s="36" t="str">
        <f>IFERROR(__xludf.DUMMYFUNCTION("IF(A83="""","""",RANK(M83,FILTER($M$11:$M$100,$A$11:$A$100&lt;&gt;""""),0))"),"")</f>
        <v/>
      </c>
      <c r="O83" s="36" t="str">
        <f t="shared" si="8"/>
        <v/>
      </c>
      <c r="P83" s="36" t="str">
        <f t="shared" si="9"/>
        <v/>
      </c>
      <c r="R83" s="36" t="str">
        <f t="shared" si="10"/>
        <v/>
      </c>
      <c r="S83" s="36" t="str">
        <f t="shared" si="11"/>
        <v/>
      </c>
      <c r="T83" s="36" t="str">
        <f>IFERROR(__xludf.DUMMYFUNCTION("IF(A83="""","""",RANK(F83,FILTER($F$11:$F$100,$A$11:$A$100&lt;&gt;""""),0))"),"")</f>
        <v/>
      </c>
      <c r="U83" s="36" t="str">
        <f>IFERROR(__xludf.DUMMYFUNCTION("IF(A83="""","""",RANK(
(F83*0.5+K83*0.5),
FILTER($F$11:$F$100*0.5+$K$11:$K$100*0.5,$A$11:$A$100&lt;&gt;""""),
0))"),"")</f>
        <v/>
      </c>
      <c r="V83" s="36" t="str">
        <f>IFERROR(__xludf.DUMMYFUNCTION("IF(A83="""","""",RANK(
(F83*0.45+L83*0.55),
FILTER($F$11:$F$100*0.45+$L$11:$L$100*0.55,$A$11:$A$100&lt;&gt;""""),
0))"),"")</f>
        <v/>
      </c>
    </row>
    <row r="84">
      <c r="B84" s="36"/>
      <c r="C84" s="36"/>
      <c r="G84" s="36" t="str">
        <f t="shared" si="1"/>
        <v/>
      </c>
      <c r="H84" s="36" t="str">
        <f t="shared" si="2"/>
        <v/>
      </c>
      <c r="I84" s="3" t="str">
        <f t="shared" si="12"/>
        <v/>
      </c>
      <c r="J84" s="36" t="str">
        <f t="shared" si="4"/>
        <v/>
      </c>
      <c r="K84" s="3" t="str">
        <f t="shared" si="5"/>
        <v/>
      </c>
      <c r="L84" s="3" t="str">
        <f t="shared" si="6"/>
        <v/>
      </c>
      <c r="M84" s="36" t="str">
        <f t="shared" si="7"/>
        <v/>
      </c>
      <c r="N84" s="36" t="str">
        <f>IFERROR(__xludf.DUMMYFUNCTION("IF(A84="""","""",RANK(M84,FILTER($M$11:$M$100,$A$11:$A$100&lt;&gt;""""),0))"),"")</f>
        <v/>
      </c>
      <c r="O84" s="36" t="str">
        <f t="shared" si="8"/>
        <v/>
      </c>
      <c r="P84" s="36" t="str">
        <f t="shared" si="9"/>
        <v/>
      </c>
      <c r="R84" s="36" t="str">
        <f t="shared" si="10"/>
        <v/>
      </c>
      <c r="S84" s="36" t="str">
        <f t="shared" si="11"/>
        <v/>
      </c>
      <c r="T84" s="36" t="str">
        <f>IFERROR(__xludf.DUMMYFUNCTION("IF(A84="""","""",RANK(F84,FILTER($F$11:$F$100,$A$11:$A$100&lt;&gt;""""),0))"),"")</f>
        <v/>
      </c>
      <c r="U84" s="36" t="str">
        <f>IFERROR(__xludf.DUMMYFUNCTION("IF(A84="""","""",RANK(
(F84*0.5+K84*0.5),
FILTER($F$11:$F$100*0.5+$K$11:$K$100*0.5,$A$11:$A$100&lt;&gt;""""),
0))"),"")</f>
        <v/>
      </c>
      <c r="V84" s="36" t="str">
        <f>IFERROR(__xludf.DUMMYFUNCTION("IF(A84="""","""",RANK(
(F84*0.45+L84*0.55),
FILTER($F$11:$F$100*0.45+$L$11:$L$100*0.55,$A$11:$A$100&lt;&gt;""""),
0))"),"")</f>
        <v/>
      </c>
    </row>
    <row r="85">
      <c r="B85" s="36"/>
      <c r="C85" s="36"/>
      <c r="G85" s="36" t="str">
        <f t="shared" si="1"/>
        <v/>
      </c>
      <c r="H85" s="36" t="str">
        <f t="shared" si="2"/>
        <v/>
      </c>
      <c r="I85" s="3" t="str">
        <f t="shared" si="12"/>
        <v/>
      </c>
      <c r="J85" s="36" t="str">
        <f t="shared" si="4"/>
        <v/>
      </c>
      <c r="K85" s="3" t="str">
        <f t="shared" si="5"/>
        <v/>
      </c>
      <c r="L85" s="3" t="str">
        <f t="shared" si="6"/>
        <v/>
      </c>
      <c r="M85" s="36" t="str">
        <f t="shared" si="7"/>
        <v/>
      </c>
      <c r="N85" s="36" t="str">
        <f>IFERROR(__xludf.DUMMYFUNCTION("IF(A85="""","""",RANK(M85,FILTER($M$11:$M$100,$A$11:$A$100&lt;&gt;""""),0))"),"")</f>
        <v/>
      </c>
      <c r="O85" s="36" t="str">
        <f t="shared" si="8"/>
        <v/>
      </c>
      <c r="P85" s="36" t="str">
        <f t="shared" si="9"/>
        <v/>
      </c>
      <c r="R85" s="36" t="str">
        <f t="shared" si="10"/>
        <v/>
      </c>
      <c r="S85" s="36" t="str">
        <f t="shared" si="11"/>
        <v/>
      </c>
      <c r="T85" s="36" t="str">
        <f>IFERROR(__xludf.DUMMYFUNCTION("IF(A85="""","""",RANK(F85,FILTER($F$11:$F$100,$A$11:$A$100&lt;&gt;""""),0))"),"")</f>
        <v/>
      </c>
      <c r="U85" s="36" t="str">
        <f>IFERROR(__xludf.DUMMYFUNCTION("IF(A85="""","""",RANK(
(F85*0.5+K85*0.5),
FILTER($F$11:$F$100*0.5+$K$11:$K$100*0.5,$A$11:$A$100&lt;&gt;""""),
0))"),"")</f>
        <v/>
      </c>
      <c r="V85" s="36" t="str">
        <f>IFERROR(__xludf.DUMMYFUNCTION("IF(A85="""","""",RANK(
(F85*0.45+L85*0.55),
FILTER($F$11:$F$100*0.45+$L$11:$L$100*0.55,$A$11:$A$100&lt;&gt;""""),
0))"),"")</f>
        <v/>
      </c>
    </row>
    <row r="86">
      <c r="B86" s="36"/>
      <c r="C86" s="36"/>
      <c r="G86" s="36" t="str">
        <f t="shared" si="1"/>
        <v/>
      </c>
      <c r="H86" s="36" t="str">
        <f t="shared" si="2"/>
        <v/>
      </c>
      <c r="I86" s="3" t="str">
        <f t="shared" si="12"/>
        <v/>
      </c>
      <c r="J86" s="36" t="str">
        <f t="shared" si="4"/>
        <v/>
      </c>
      <c r="K86" s="3" t="str">
        <f t="shared" si="5"/>
        <v/>
      </c>
      <c r="L86" s="3" t="str">
        <f t="shared" si="6"/>
        <v/>
      </c>
      <c r="M86" s="36" t="str">
        <f t="shared" si="7"/>
        <v/>
      </c>
      <c r="N86" s="36" t="str">
        <f>IFERROR(__xludf.DUMMYFUNCTION("IF(A86="""","""",RANK(M86,FILTER($M$11:$M$100,$A$11:$A$100&lt;&gt;""""),0))"),"")</f>
        <v/>
      </c>
      <c r="O86" s="36" t="str">
        <f t="shared" si="8"/>
        <v/>
      </c>
      <c r="P86" s="36" t="str">
        <f t="shared" si="9"/>
        <v/>
      </c>
      <c r="R86" s="36" t="str">
        <f t="shared" si="10"/>
        <v/>
      </c>
      <c r="S86" s="36" t="str">
        <f t="shared" si="11"/>
        <v/>
      </c>
      <c r="T86" s="36" t="str">
        <f>IFERROR(__xludf.DUMMYFUNCTION("IF(A86="""","""",RANK(F86,FILTER($F$11:$F$100,$A$11:$A$100&lt;&gt;""""),0))"),"")</f>
        <v/>
      </c>
      <c r="U86" s="36" t="str">
        <f>IFERROR(__xludf.DUMMYFUNCTION("IF(A86="""","""",RANK(
(F86*0.5+K86*0.5),
FILTER($F$11:$F$100*0.5+$K$11:$K$100*0.5,$A$11:$A$100&lt;&gt;""""),
0))"),"")</f>
        <v/>
      </c>
      <c r="V86" s="36" t="str">
        <f>IFERROR(__xludf.DUMMYFUNCTION("IF(A86="""","""",RANK(
(F86*0.45+L86*0.55),
FILTER($F$11:$F$100*0.45+$L$11:$L$100*0.55,$A$11:$A$100&lt;&gt;""""),
0))"),"")</f>
        <v/>
      </c>
    </row>
    <row r="87">
      <c r="B87" s="36"/>
      <c r="C87" s="36"/>
      <c r="G87" s="36" t="str">
        <f t="shared" ref="G87:G100" si="13">IF(A87="","",MAX(1,MIN(10,ROUND(10-(MAX(0,D87-$E$4)/MAX(1,$E$6))*0.5,0))))</f>
        <v/>
      </c>
      <c r="H87" s="36" t="str">
        <f t="shared" si="2"/>
        <v/>
      </c>
      <c r="I87" s="3" t="str">
        <f t="shared" si="12"/>
        <v/>
      </c>
      <c r="J87" s="36" t="str">
        <f t="shared" si="4"/>
        <v/>
      </c>
      <c r="K87" s="3" t="str">
        <f t="shared" si="5"/>
        <v/>
      </c>
      <c r="L87" s="3" t="str">
        <f t="shared" si="6"/>
        <v/>
      </c>
      <c r="M87" s="36" t="str">
        <f t="shared" si="7"/>
        <v/>
      </c>
      <c r="N87" s="36" t="str">
        <f>IFERROR(__xludf.DUMMYFUNCTION("IF(A87="""","""",RANK(M87,FILTER($M$11:$M$100,$A$11:$A$100&lt;&gt;""""),0))"),"")</f>
        <v/>
      </c>
      <c r="O87" s="36" t="str">
        <f t="shared" si="8"/>
        <v/>
      </c>
      <c r="P87" s="36" t="str">
        <f t="shared" si="9"/>
        <v/>
      </c>
      <c r="R87" s="36" t="str">
        <f t="shared" si="10"/>
        <v/>
      </c>
      <c r="S87" s="36" t="str">
        <f t="shared" si="11"/>
        <v/>
      </c>
      <c r="T87" s="36" t="str">
        <f>IFERROR(__xludf.DUMMYFUNCTION("IF(A87="""","""",RANK(F87,FILTER($F$11:$F$100,$A$11:$A$100&lt;&gt;""""),0))"),"")</f>
        <v/>
      </c>
      <c r="U87" s="36" t="str">
        <f>IFERROR(__xludf.DUMMYFUNCTION("IF(A87="""","""",RANK(
(F87*0.5+K87*0.5),
FILTER($F$11:$F$100*0.5+$K$11:$K$100*0.5,$A$11:$A$100&lt;&gt;""""),
0))"),"")</f>
        <v/>
      </c>
      <c r="V87" s="36" t="str">
        <f>IFERROR(__xludf.DUMMYFUNCTION("IF(A87="""","""",RANK(
(F87*0.45+L87*0.55),
FILTER($F$11:$F$100*0.45+$L$11:$L$100*0.55,$A$11:$A$100&lt;&gt;""""),
0))"),"")</f>
        <v/>
      </c>
    </row>
    <row r="88">
      <c r="B88" s="36"/>
      <c r="C88" s="36"/>
      <c r="G88" s="36" t="str">
        <f t="shared" si="13"/>
        <v/>
      </c>
      <c r="H88" s="36" t="str">
        <f t="shared" si="2"/>
        <v/>
      </c>
      <c r="I88" s="3" t="str">
        <f t="shared" si="12"/>
        <v/>
      </c>
      <c r="J88" s="36" t="str">
        <f t="shared" si="4"/>
        <v/>
      </c>
      <c r="K88" s="3" t="str">
        <f t="shared" si="5"/>
        <v/>
      </c>
      <c r="L88" s="3" t="str">
        <f t="shared" si="6"/>
        <v/>
      </c>
      <c r="M88" s="36" t="str">
        <f t="shared" si="7"/>
        <v/>
      </c>
      <c r="N88" s="36" t="str">
        <f>IFERROR(__xludf.DUMMYFUNCTION("IF(A88="""","""",RANK(M88,FILTER($M$11:$M$100,$A$11:$A$100&lt;&gt;""""),0))"),"")</f>
        <v/>
      </c>
      <c r="O88" s="36" t="str">
        <f t="shared" si="8"/>
        <v/>
      </c>
      <c r="P88" s="36" t="str">
        <f t="shared" si="9"/>
        <v/>
      </c>
      <c r="R88" s="36" t="str">
        <f t="shared" si="10"/>
        <v/>
      </c>
      <c r="S88" s="36" t="str">
        <f t="shared" si="11"/>
        <v/>
      </c>
      <c r="T88" s="36" t="str">
        <f>IFERROR(__xludf.DUMMYFUNCTION("IF(A88="""","""",RANK(F88,FILTER($F$11:$F$100,$A$11:$A$100&lt;&gt;""""),0))"),"")</f>
        <v/>
      </c>
      <c r="U88" s="36" t="str">
        <f>IFERROR(__xludf.DUMMYFUNCTION("IF(A88="""","""",RANK(
(F88*0.5+K88*0.5),
FILTER($F$11:$F$100*0.5+$K$11:$K$100*0.5,$A$11:$A$100&lt;&gt;""""),
0))"),"")</f>
        <v/>
      </c>
      <c r="V88" s="36" t="str">
        <f>IFERROR(__xludf.DUMMYFUNCTION("IF(A88="""","""",RANK(
(F88*0.45+L88*0.55),
FILTER($F$11:$F$100*0.45+$L$11:$L$100*0.55,$A$11:$A$100&lt;&gt;""""),
0))"),"")</f>
        <v/>
      </c>
    </row>
    <row r="89">
      <c r="B89" s="36"/>
      <c r="C89" s="36"/>
      <c r="G89" s="36" t="str">
        <f t="shared" si="13"/>
        <v/>
      </c>
      <c r="H89" s="36" t="str">
        <f t="shared" si="2"/>
        <v/>
      </c>
      <c r="J89" s="36" t="str">
        <f t="shared" si="4"/>
        <v/>
      </c>
      <c r="K89" s="3" t="str">
        <f t="shared" si="5"/>
        <v/>
      </c>
      <c r="L89" s="3" t="str">
        <f t="shared" si="6"/>
        <v/>
      </c>
      <c r="M89" s="36" t="str">
        <f t="shared" si="7"/>
        <v/>
      </c>
      <c r="N89" s="36" t="str">
        <f>IFERROR(__xludf.DUMMYFUNCTION("IF(A89="""","""",RANK(M89,FILTER($M$11:$M$100,$A$11:$A$100&lt;&gt;""""),0))"),"")</f>
        <v/>
      </c>
      <c r="O89" s="36" t="str">
        <f t="shared" si="8"/>
        <v/>
      </c>
      <c r="P89" s="36" t="str">
        <f t="shared" si="9"/>
        <v/>
      </c>
      <c r="R89" s="36" t="str">
        <f t="shared" si="10"/>
        <v/>
      </c>
      <c r="S89" s="36" t="str">
        <f t="shared" si="11"/>
        <v/>
      </c>
      <c r="T89" s="36" t="str">
        <f>IFERROR(__xludf.DUMMYFUNCTION("IF(A89="""","""",RANK(F89,FILTER($F$11:$F$100,$A$11:$A$100&lt;&gt;""""),0))"),"")</f>
        <v/>
      </c>
      <c r="U89" s="36" t="str">
        <f>IFERROR(__xludf.DUMMYFUNCTION("IF(A89="""","""",RANK(
(F89*0.5+K89*0.5),
FILTER($F$11:$F$100*0.5+$K$11:$K$100*0.5,$A$11:$A$100&lt;&gt;""""),
0))"),"")</f>
        <v/>
      </c>
      <c r="V89" s="36" t="str">
        <f>IFERROR(__xludf.DUMMYFUNCTION("IF(A89="""","""",RANK(
(F89*0.45+L89*0.55),
FILTER($F$11:$F$100*0.45+$L$11:$L$100*0.55,$A$11:$A$100&lt;&gt;""""),
0))"),"")</f>
        <v/>
      </c>
    </row>
    <row r="90">
      <c r="B90" s="36"/>
      <c r="C90" s="36"/>
      <c r="G90" s="36" t="str">
        <f t="shared" si="13"/>
        <v/>
      </c>
      <c r="H90" s="36" t="str">
        <f t="shared" si="2"/>
        <v/>
      </c>
      <c r="J90" s="36" t="str">
        <f t="shared" si="4"/>
        <v/>
      </c>
      <c r="K90" s="3" t="str">
        <f t="shared" si="5"/>
        <v/>
      </c>
      <c r="L90" s="3" t="str">
        <f t="shared" si="6"/>
        <v/>
      </c>
      <c r="M90" s="36" t="str">
        <f t="shared" si="7"/>
        <v/>
      </c>
      <c r="N90" s="36" t="str">
        <f>IFERROR(__xludf.DUMMYFUNCTION("IF(A90="""","""",RANK(M90,FILTER($M$11:$M$100,$A$11:$A$100&lt;&gt;""""),0))"),"")</f>
        <v/>
      </c>
      <c r="O90" s="36" t="str">
        <f t="shared" si="8"/>
        <v/>
      </c>
      <c r="P90" s="36" t="str">
        <f t="shared" si="9"/>
        <v/>
      </c>
      <c r="R90" s="36" t="str">
        <f t="shared" si="10"/>
        <v/>
      </c>
      <c r="S90" s="36" t="str">
        <f t="shared" si="11"/>
        <v/>
      </c>
      <c r="T90" s="36" t="str">
        <f>IFERROR(__xludf.DUMMYFUNCTION("IF(A90="""","""",RANK(F90,FILTER($F$11:$F$100,$A$11:$A$100&lt;&gt;""""),0))"),"")</f>
        <v/>
      </c>
      <c r="U90" s="36" t="str">
        <f>IFERROR(__xludf.DUMMYFUNCTION("IF(A90="""","""",RANK(
(F90*0.45+K90*0.55),
FILTER($F$11:$F$100*0.45+$K$11:$K$100*0.55,$A$11:$A$100&lt;&gt;""""),
0))"),"")</f>
        <v/>
      </c>
      <c r="V90" s="36" t="str">
        <f>IFERROR(__xludf.DUMMYFUNCTION("IF(A90="""","""",RANK(
(F90*0.45+L90*0.55),
FILTER($F$11:$F$100*0.45+$L$11:$L$100*0.55,$A$11:$A$100&lt;&gt;""""),
0))"),"")</f>
        <v/>
      </c>
    </row>
    <row r="91">
      <c r="B91" s="36"/>
      <c r="C91" s="36"/>
      <c r="G91" s="36" t="str">
        <f t="shared" si="13"/>
        <v/>
      </c>
      <c r="H91" s="36" t="str">
        <f t="shared" si="2"/>
        <v/>
      </c>
      <c r="J91" s="36" t="str">
        <f t="shared" si="4"/>
        <v/>
      </c>
      <c r="K91" s="3" t="str">
        <f t="shared" si="5"/>
        <v/>
      </c>
      <c r="L91" s="3" t="str">
        <f t="shared" si="6"/>
        <v/>
      </c>
      <c r="M91" s="36" t="str">
        <f t="shared" si="7"/>
        <v/>
      </c>
      <c r="N91" s="36" t="str">
        <f>IFERROR(__xludf.DUMMYFUNCTION("IF(A91="""","""",RANK(M91,FILTER($M$11:$M$100,$A$11:$A$100&lt;&gt;""""),0))"),"")</f>
        <v/>
      </c>
      <c r="O91" s="36" t="str">
        <f t="shared" si="8"/>
        <v/>
      </c>
      <c r="P91" s="36" t="str">
        <f t="shared" si="9"/>
        <v/>
      </c>
      <c r="R91" s="36" t="str">
        <f t="shared" si="10"/>
        <v/>
      </c>
      <c r="S91" s="36" t="str">
        <f t="shared" si="11"/>
        <v/>
      </c>
      <c r="T91" s="36" t="str">
        <f>IFERROR(__xludf.DUMMYFUNCTION("IF(A91="""","""",RANK(F91,FILTER($F$11:$F$100,$A$11:$A$100&lt;&gt;""""),0))"),"")</f>
        <v/>
      </c>
      <c r="U91" s="36" t="str">
        <f>IFERROR(__xludf.DUMMYFUNCTION("IF(A91="""","""",RANK(
(F91*0.45+K91*0.55),
FILTER($F$11:$F$100*0.45+$K$11:$K$100*0.55,$A$11:$A$100&lt;&gt;""""),
0))"),"")</f>
        <v/>
      </c>
    </row>
    <row r="92">
      <c r="B92" s="36"/>
      <c r="C92" s="36"/>
      <c r="G92" s="36" t="str">
        <f t="shared" si="13"/>
        <v/>
      </c>
      <c r="H92" s="36" t="str">
        <f t="shared" si="2"/>
        <v/>
      </c>
      <c r="J92" s="36" t="str">
        <f t="shared" si="4"/>
        <v/>
      </c>
      <c r="K92" s="3" t="str">
        <f t="shared" si="5"/>
        <v/>
      </c>
      <c r="L92" s="3" t="str">
        <f t="shared" si="6"/>
        <v/>
      </c>
      <c r="M92" s="36" t="str">
        <f t="shared" si="7"/>
        <v/>
      </c>
      <c r="N92" s="36" t="str">
        <f>IFERROR(__xludf.DUMMYFUNCTION("IF(A92="""","""",RANK(M92,FILTER($M$11:$M$100,$A$11:$A$100&lt;&gt;""""),0))"),"")</f>
        <v/>
      </c>
      <c r="O92" s="36" t="str">
        <f t="shared" si="8"/>
        <v/>
      </c>
      <c r="P92" s="36" t="str">
        <f t="shared" si="9"/>
        <v/>
      </c>
      <c r="R92" s="36" t="str">
        <f t="shared" si="10"/>
        <v/>
      </c>
      <c r="S92" s="36" t="str">
        <f t="shared" si="11"/>
        <v/>
      </c>
      <c r="T92" s="36" t="str">
        <f>IFERROR(__xludf.DUMMYFUNCTION("IF(A92="""","""",RANK(F92,FILTER($F$11:$F$100,$A$11:$A$100&lt;&gt;""""),0))"),"")</f>
        <v/>
      </c>
      <c r="U92" s="36" t="str">
        <f>IFERROR(__xludf.DUMMYFUNCTION("IF(A92="""","""",RANK(
(F92*0.45+K92*0.55),
FILTER($F$11:$F$100*0.45+$K$11:$K$100*0.55,$A$11:$A$100&lt;&gt;""""),
0))"),"")</f>
        <v/>
      </c>
    </row>
    <row r="93">
      <c r="B93" s="36"/>
      <c r="C93" s="36"/>
      <c r="G93" s="36" t="str">
        <f t="shared" si="13"/>
        <v/>
      </c>
      <c r="H93" s="36" t="str">
        <f t="shared" si="2"/>
        <v/>
      </c>
      <c r="J93" s="36" t="str">
        <f t="shared" si="4"/>
        <v/>
      </c>
      <c r="K93" s="3" t="str">
        <f t="shared" si="5"/>
        <v/>
      </c>
      <c r="L93" s="3" t="str">
        <f t="shared" si="6"/>
        <v/>
      </c>
      <c r="M93" s="36" t="str">
        <f t="shared" si="7"/>
        <v/>
      </c>
      <c r="N93" s="36" t="str">
        <f>IFERROR(__xludf.DUMMYFUNCTION("IF(A93="""","""",RANK(M93,FILTER($M$11:$M$100,$A$11:$A$100&lt;&gt;""""),0))"),"")</f>
        <v/>
      </c>
      <c r="O93" s="36" t="str">
        <f t="shared" si="8"/>
        <v/>
      </c>
      <c r="P93" s="36" t="str">
        <f t="shared" si="9"/>
        <v/>
      </c>
      <c r="R93" s="36" t="str">
        <f t="shared" ref="R93:R100" si="14">IF(A93="","",MAX(0,D93-$E$4))</f>
        <v/>
      </c>
      <c r="S93" s="36" t="str">
        <f t="shared" ref="S93:S100" si="15">IF(A93="","",IF(R93=0,0,IF($E$6&lt;=0,"N/A",ROUNDUP(R93/$E$6,0))))</f>
        <v/>
      </c>
      <c r="T93" s="36" t="str">
        <f>IFERROR(__xludf.DUMMYFUNCTION("IF(A93="""","""",RANK(F93,FILTER($F$11:$F$100,$A$11:$A$100&lt;&gt;""""),0))"),"")</f>
        <v/>
      </c>
      <c r="U93" s="36" t="str">
        <f>IFERROR(__xludf.DUMMYFUNCTION("IF(A93="""","""",RANK(
(F93*0.45+K93*0.55),
FILTER($F$11:$F$100*0.45+$K$11:$K$100*0.55,$A$11:$A$100&lt;&gt;""""),
0))"),"")</f>
        <v/>
      </c>
    </row>
    <row r="94">
      <c r="B94" s="36"/>
      <c r="C94" s="36"/>
      <c r="G94" s="36" t="str">
        <f t="shared" si="13"/>
        <v/>
      </c>
      <c r="H94" s="36" t="str">
        <f t="shared" si="2"/>
        <v/>
      </c>
      <c r="J94" s="36" t="str">
        <f t="shared" si="4"/>
        <v/>
      </c>
      <c r="K94" s="3" t="str">
        <f t="shared" si="5"/>
        <v/>
      </c>
      <c r="L94" s="3" t="str">
        <f t="shared" si="6"/>
        <v/>
      </c>
      <c r="M94" s="36" t="str">
        <f t="shared" si="7"/>
        <v/>
      </c>
      <c r="N94" s="36" t="str">
        <f>IFERROR(__xludf.DUMMYFUNCTION("IF(A94="""","""",RANK(M94,FILTER($M$11:$M$100,$A$11:$A$100&lt;&gt;""""),0))"),"")</f>
        <v/>
      </c>
      <c r="O94" s="36" t="str">
        <f t="shared" si="8"/>
        <v/>
      </c>
      <c r="P94" s="36" t="str">
        <f t="shared" si="9"/>
        <v/>
      </c>
      <c r="R94" s="36" t="str">
        <f t="shared" si="14"/>
        <v/>
      </c>
      <c r="S94" s="36" t="str">
        <f t="shared" si="15"/>
        <v/>
      </c>
      <c r="T94" s="36" t="str">
        <f>IFERROR(__xludf.DUMMYFUNCTION("IF(A94="""","""",RANK(F94,FILTER($F$11:$F$100,$A$11:$A$100&lt;&gt;""""),0))"),"")</f>
        <v/>
      </c>
      <c r="U94" s="36" t="str">
        <f>IFERROR(__xludf.DUMMYFUNCTION("IF(A94="""","""",RANK(
(F94*0.45+K94*0.55),
FILTER($F$11:$F$100*0.45+$K$11:$K$100*0.55,$A$11:$A$100&lt;&gt;""""),
0))"),"")</f>
        <v/>
      </c>
    </row>
    <row r="95">
      <c r="B95" s="36"/>
      <c r="C95" s="36"/>
      <c r="G95" s="36" t="str">
        <f t="shared" si="13"/>
        <v/>
      </c>
      <c r="H95" s="36" t="str">
        <f t="shared" si="2"/>
        <v/>
      </c>
      <c r="J95" s="36" t="str">
        <f t="shared" si="4"/>
        <v/>
      </c>
      <c r="K95" s="3" t="str">
        <f t="shared" si="5"/>
        <v/>
      </c>
      <c r="L95" s="3" t="str">
        <f t="shared" si="6"/>
        <v/>
      </c>
      <c r="M95" s="36" t="str">
        <f t="shared" si="7"/>
        <v/>
      </c>
      <c r="N95" s="36" t="str">
        <f>IFERROR(__xludf.DUMMYFUNCTION("IF(A95="""","""",RANK(M95,FILTER($M$11:$M$100,$A$11:$A$100&lt;&gt;""""),0))"),"")</f>
        <v/>
      </c>
      <c r="O95" s="36" t="str">
        <f t="shared" si="8"/>
        <v/>
      </c>
      <c r="P95" s="36" t="str">
        <f t="shared" si="9"/>
        <v/>
      </c>
      <c r="R95" s="36" t="str">
        <f t="shared" si="14"/>
        <v/>
      </c>
      <c r="S95" s="36" t="str">
        <f t="shared" si="15"/>
        <v/>
      </c>
      <c r="T95" s="36" t="str">
        <f>IFERROR(__xludf.DUMMYFUNCTION("IF(A95="""","""",RANK(F95,FILTER($F$11:$F$100,$A$11:$A$100&lt;&gt;""""),0))"),"")</f>
        <v/>
      </c>
      <c r="U95" s="36" t="str">
        <f>IFERROR(__xludf.DUMMYFUNCTION("IF(A95="""","""",RANK(
(F95*0.45+K95*0.55),
FILTER($F$11:$F$100*0.45+$K$11:$K$100*0.55,$A$11:$A$100&lt;&gt;""""),
0))"),"")</f>
        <v/>
      </c>
    </row>
    <row r="96">
      <c r="B96" s="36"/>
      <c r="C96" s="36"/>
      <c r="G96" s="36" t="str">
        <f t="shared" si="13"/>
        <v/>
      </c>
      <c r="H96" s="36" t="str">
        <f t="shared" si="2"/>
        <v/>
      </c>
      <c r="J96" s="36" t="str">
        <f t="shared" si="4"/>
        <v/>
      </c>
      <c r="K96" s="3" t="str">
        <f t="shared" si="5"/>
        <v/>
      </c>
      <c r="L96" s="3" t="str">
        <f t="shared" si="6"/>
        <v/>
      </c>
      <c r="M96" s="36" t="str">
        <f t="shared" si="7"/>
        <v/>
      </c>
      <c r="N96" s="36" t="str">
        <f>IFERROR(__xludf.DUMMYFUNCTION("IF(A96="""","""",RANK(M96,FILTER($M$11:$M$100,$A$11:$A$100&lt;&gt;""""),0))"),"")</f>
        <v/>
      </c>
      <c r="O96" s="36" t="str">
        <f t="shared" si="8"/>
        <v/>
      </c>
      <c r="P96" s="36" t="str">
        <f t="shared" si="9"/>
        <v/>
      </c>
      <c r="R96" s="36" t="str">
        <f t="shared" si="14"/>
        <v/>
      </c>
      <c r="S96" s="36" t="str">
        <f t="shared" si="15"/>
        <v/>
      </c>
      <c r="T96" s="36" t="str">
        <f>IFERROR(__xludf.DUMMYFUNCTION("IF(A96="""","""",RANK(F96,FILTER($F$11:$F$100,$A$11:$A$100&lt;&gt;""""),0))"),"")</f>
        <v/>
      </c>
      <c r="U96" s="36" t="str">
        <f>IFERROR(__xludf.DUMMYFUNCTION("IF(A96="""","""",RANK(
(F96*0.45+K96*0.55),
FILTER($F$11:$F$100*0.45+$K$11:$K$100*0.55,$A$11:$A$100&lt;&gt;""""),
0))"),"")</f>
        <v/>
      </c>
    </row>
    <row r="97">
      <c r="B97" s="36"/>
      <c r="C97" s="36"/>
      <c r="G97" s="36" t="str">
        <f t="shared" si="13"/>
        <v/>
      </c>
      <c r="H97" s="36" t="str">
        <f t="shared" si="2"/>
        <v/>
      </c>
      <c r="J97" s="36" t="str">
        <f t="shared" si="4"/>
        <v/>
      </c>
      <c r="K97" s="3" t="str">
        <f t="shared" si="5"/>
        <v/>
      </c>
      <c r="L97" s="3" t="str">
        <f t="shared" si="6"/>
        <v/>
      </c>
      <c r="M97" s="36" t="str">
        <f t="shared" si="7"/>
        <v/>
      </c>
      <c r="N97" s="36" t="str">
        <f>IFERROR(__xludf.DUMMYFUNCTION("IF(A97="""","""",RANK(M97,FILTER($M$11:$M$100,$A$11:$A$100&lt;&gt;""""),0))"),"")</f>
        <v/>
      </c>
      <c r="O97" s="36" t="str">
        <f t="shared" si="8"/>
        <v/>
      </c>
      <c r="P97" s="36" t="str">
        <f t="shared" si="9"/>
        <v/>
      </c>
      <c r="R97" s="36" t="str">
        <f t="shared" si="14"/>
        <v/>
      </c>
      <c r="S97" s="36" t="str">
        <f t="shared" si="15"/>
        <v/>
      </c>
      <c r="T97" s="36" t="str">
        <f>IFERROR(__xludf.DUMMYFUNCTION("IF(A97="""","""",RANK(F97,FILTER($F$11:$F$100,$A$11:$A$100&lt;&gt;""""),0))"),"")</f>
        <v/>
      </c>
      <c r="U97" s="36" t="str">
        <f>IFERROR(__xludf.DUMMYFUNCTION("IF(A97="""","""",RANK(
(F97*0.45+K97*0.55),
FILTER($F$11:$F$100*0.45+$K$11:$K$100*0.55,$A$11:$A$100&lt;&gt;""""),
0))"),"")</f>
        <v/>
      </c>
    </row>
    <row r="98">
      <c r="B98" s="36"/>
      <c r="C98" s="36"/>
      <c r="G98" s="36" t="str">
        <f t="shared" si="13"/>
        <v/>
      </c>
      <c r="H98" s="36" t="str">
        <f t="shared" si="2"/>
        <v/>
      </c>
      <c r="J98" s="36" t="str">
        <f t="shared" si="4"/>
        <v/>
      </c>
      <c r="K98" s="3" t="str">
        <f t="shared" si="5"/>
        <v/>
      </c>
      <c r="L98" s="3" t="str">
        <f t="shared" si="6"/>
        <v/>
      </c>
      <c r="M98" s="36" t="str">
        <f t="shared" si="7"/>
        <v/>
      </c>
      <c r="N98" s="36" t="str">
        <f>IFERROR(__xludf.DUMMYFUNCTION("IF(A98="""","""",RANK(M98,FILTER($M$11:$M$100,$A$11:$A$100&lt;&gt;""""),0))"),"")</f>
        <v/>
      </c>
      <c r="O98" s="36" t="str">
        <f t="shared" si="8"/>
        <v/>
      </c>
      <c r="P98" s="36" t="str">
        <f t="shared" si="9"/>
        <v/>
      </c>
      <c r="R98" s="36" t="str">
        <f t="shared" si="14"/>
        <v/>
      </c>
      <c r="S98" s="36" t="str">
        <f t="shared" si="15"/>
        <v/>
      </c>
      <c r="T98" s="36" t="str">
        <f>IFERROR(__xludf.DUMMYFUNCTION("IF(A98="""","""",RANK(F98,FILTER($F$11:$F$100,$A$11:$A$100&lt;&gt;""""),0))"),"")</f>
        <v/>
      </c>
      <c r="U98" s="36" t="str">
        <f>IFERROR(__xludf.DUMMYFUNCTION("IF(A98="""","""",RANK(
(F98*0.45+K98*0.55),
FILTER($F$11:$F$100*0.45+$K$11:$K$100*0.55,$A$11:$A$100&lt;&gt;""""),
0))"),"")</f>
        <v/>
      </c>
    </row>
    <row r="99">
      <c r="B99" s="36"/>
      <c r="C99" s="36"/>
      <c r="G99" s="36" t="str">
        <f t="shared" si="13"/>
        <v/>
      </c>
      <c r="H99" s="36" t="str">
        <f t="shared" si="2"/>
        <v/>
      </c>
      <c r="J99" s="36" t="str">
        <f t="shared" si="4"/>
        <v/>
      </c>
      <c r="K99" s="3" t="str">
        <f t="shared" si="5"/>
        <v/>
      </c>
      <c r="L99" s="3" t="str">
        <f t="shared" si="6"/>
        <v/>
      </c>
      <c r="M99" s="36" t="str">
        <f t="shared" si="7"/>
        <v/>
      </c>
      <c r="N99" s="36" t="str">
        <f>IFERROR(__xludf.DUMMYFUNCTION("IF(A99="""","""",RANK(M99,FILTER($M$11:$M$100,$A$11:$A$100&lt;&gt;""""),0))"),"")</f>
        <v/>
      </c>
      <c r="O99" s="36" t="str">
        <f t="shared" si="8"/>
        <v/>
      </c>
      <c r="P99" s="36" t="str">
        <f t="shared" si="9"/>
        <v/>
      </c>
      <c r="R99" s="36" t="str">
        <f t="shared" si="14"/>
        <v/>
      </c>
      <c r="S99" s="36" t="str">
        <f t="shared" si="15"/>
        <v/>
      </c>
      <c r="T99" s="36" t="str">
        <f>IFERROR(__xludf.DUMMYFUNCTION("IF(A99="""","""",RANK(F99,FILTER($F$11:$F$100,$A$11:$A$100&lt;&gt;""""),0))"),"")</f>
        <v/>
      </c>
      <c r="U99" s="36" t="str">
        <f>IFERROR(__xludf.DUMMYFUNCTION("IF(A99="""","""",RANK(
(F99*0.45+K99*0.55),
FILTER($F$11:$F$100*0.45+$K$11:$K$100*0.55,$A$11:$A$100&lt;&gt;""""),
0))"),"")</f>
        <v/>
      </c>
    </row>
    <row r="100">
      <c r="B100" s="36"/>
      <c r="C100" s="36"/>
      <c r="G100" s="36" t="str">
        <f t="shared" si="13"/>
        <v/>
      </c>
      <c r="H100" s="36" t="str">
        <f t="shared" si="2"/>
        <v/>
      </c>
      <c r="J100" s="36" t="str">
        <f t="shared" si="4"/>
        <v/>
      </c>
      <c r="K100" s="3" t="str">
        <f t="shared" si="5"/>
        <v/>
      </c>
      <c r="L100" s="3" t="str">
        <f t="shared" si="6"/>
        <v/>
      </c>
      <c r="M100" s="36" t="str">
        <f t="shared" si="7"/>
        <v/>
      </c>
      <c r="N100" s="36" t="str">
        <f>IFERROR(__xludf.DUMMYFUNCTION("IF(A100="""","""",RANK(M100,FILTER($M$11:$M$100,$A$11:$A$100&lt;&gt;""""),0))"),"")</f>
        <v/>
      </c>
      <c r="O100" s="36" t="str">
        <f t="shared" si="8"/>
        <v/>
      </c>
      <c r="P100" s="36" t="str">
        <f t="shared" si="9"/>
        <v/>
      </c>
      <c r="R100" s="36" t="str">
        <f t="shared" si="14"/>
        <v/>
      </c>
      <c r="S100" s="36" t="str">
        <f t="shared" si="15"/>
        <v/>
      </c>
      <c r="T100" s="36" t="str">
        <f>IFERROR(__xludf.DUMMYFUNCTION("IF(A100="""","""",RANK(F100,FILTER($F$11:$F$100,$A$11:$A$100&lt;&gt;""""),0))"),"")</f>
        <v/>
      </c>
      <c r="U100" s="36" t="str">
        <f>IFERROR(__xludf.DUMMYFUNCTION("IF(A100="""","""",RANK(
(F100*0.45+K100*0.55),
FILTER($F$11:$F$100*0.45+$K$11:$K$100*0.55,$A$11:$A$100&lt;&gt;""""),
0))"),"")</f>
        <v/>
      </c>
    </row>
    <row r="101">
      <c r="H101" s="36" t="str">
        <f t="shared" si="2"/>
        <v/>
      </c>
      <c r="L101" s="3" t="str">
        <f t="shared" si="6"/>
        <v/>
      </c>
      <c r="N101" s="36" t="str">
        <f>IFERROR(__xludf.DUMMYFUNCTION("IF(A101="""","""",RANK(M101,FILTER($M$11:$M$100,$A$11:$A$100&lt;&gt;""""),0))"),"")</f>
        <v/>
      </c>
      <c r="O101" s="36" t="str">
        <f t="shared" si="8"/>
        <v/>
      </c>
      <c r="P101" s="36" t="str">
        <f t="shared" si="9"/>
        <v/>
      </c>
      <c r="U101" s="36" t="str">
        <f>IFERROR(__xludf.DUMMYFUNCTION("IF(A101="""","""",RANK(
(F101*0.45+K101*0.55),
FILTER($F$11:$F$100*0.45+$K$11:$K$100*0.55,$A$11:$A$100&lt;&gt;""""),
0))"),"")</f>
        <v/>
      </c>
    </row>
    <row r="102">
      <c r="H102" s="36" t="str">
        <f t="shared" si="2"/>
        <v/>
      </c>
      <c r="L102" s="3" t="str">
        <f t="shared" si="6"/>
        <v/>
      </c>
      <c r="O102" s="36"/>
      <c r="P102" s="36" t="str">
        <f t="shared" si="9"/>
        <v/>
      </c>
      <c r="U102" s="36" t="str">
        <f>IFERROR(__xludf.DUMMYFUNCTION("IF(A102="""","""",RANK(
(F102*0.45+K102*0.55),
FILTER($F$11:$F$100*0.45+$K$11:$K$100*0.55,$A$11:$A$100&lt;&gt;""""),
0))"),"")</f>
        <v/>
      </c>
    </row>
    <row r="103">
      <c r="H103" s="36" t="str">
        <f t="shared" si="2"/>
        <v/>
      </c>
      <c r="L103" s="3" t="str">
        <f t="shared" si="6"/>
        <v/>
      </c>
      <c r="O103" s="36"/>
      <c r="U103" s="36" t="str">
        <f>IFERROR(__xludf.DUMMYFUNCTION("IF(A103="""","""",RANK(
(F103*0.45+K103*0.55),
FILTER($F$11:$F$100*0.45+$K$11:$K$100*0.55,$A$11:$A$100&lt;&gt;""""),
0))"),"")</f>
        <v/>
      </c>
    </row>
    <row r="104">
      <c r="H104" s="36" t="str">
        <f t="shared" si="2"/>
        <v/>
      </c>
      <c r="L104" s="3" t="str">
        <f t="shared" si="6"/>
        <v/>
      </c>
      <c r="O104" s="36"/>
      <c r="U104" s="36" t="str">
        <f>IFERROR(__xludf.DUMMYFUNCTION("IF(A104="""","""",RANK(
(F104*0.45+K104*0.55),
FILTER($F$11:$F$100*0.45+$K$11:$K$100*0.55,$A$11:$A$100&lt;&gt;""""),
0))"),"")</f>
        <v/>
      </c>
    </row>
    <row r="105">
      <c r="L105" s="3" t="str">
        <f t="shared" si="6"/>
        <v/>
      </c>
      <c r="O105" s="36"/>
      <c r="U105" s="36" t="str">
        <f>IFERROR(__xludf.DUMMYFUNCTION("IF(A105="""","""",RANK(
(F105*0.45+K105*0.55),
FILTER($F$11:$F$100*0.45+$K$11:$K$100*0.55,$A$11:$A$100&lt;&gt;""""),
0))"),"")</f>
        <v/>
      </c>
    </row>
    <row r="106">
      <c r="L106" s="3" t="str">
        <f t="shared" si="6"/>
        <v/>
      </c>
      <c r="O106" s="36"/>
      <c r="U106" s="36" t="str">
        <f>IFERROR(__xludf.DUMMYFUNCTION("IF(A106="""","""",RANK(
(F106*0.45+K106*0.55),
FILTER($F$11:$F$100*0.45+$K$11:$K$100*0.55,$A$11:$A$100&lt;&gt;""""),
0))"),"")</f>
        <v/>
      </c>
    </row>
    <row r="107">
      <c r="O107" s="36"/>
      <c r="U107" s="36" t="str">
        <f>IFERROR(__xludf.DUMMYFUNCTION("IF(A107="""","""",RANK(
(F107*0.45+K107*0.55),
FILTER($F$11:$F$100*0.45+$K$11:$K$100*0.55,$A$11:$A$100&lt;&gt;""""),
0))"),"")</f>
        <v/>
      </c>
    </row>
    <row r="108">
      <c r="O108" s="36"/>
      <c r="U108" s="36" t="str">
        <f>IFERROR(__xludf.DUMMYFUNCTION("IF(A108="""","""",RANK(
(F108*0.45+K108*0.55),
FILTER($F$11:$F$100*0.45+$K$11:$K$100*0.55,$A$11:$A$100&lt;&gt;""""),
0))"),"")</f>
        <v/>
      </c>
    </row>
    <row r="109">
      <c r="O109" s="36"/>
      <c r="U109" s="36" t="str">
        <f>IFERROR(__xludf.DUMMYFUNCTION("IF(A109="""","""",RANK(
(F109*0.45+K109*0.55),
FILTER($F$11:$F$100*0.45+$K$11:$K$100*0.55,$A$11:$A$100&lt;&gt;""""),
0))"),"")</f>
        <v/>
      </c>
    </row>
    <row r="110">
      <c r="O110" s="36"/>
      <c r="U110" s="36" t="str">
        <f>IFERROR(__xludf.DUMMYFUNCTION("IF(A110="""","""",RANK(
(F110*0.45+K110*0.55),
FILTER($F$11:$F$100*0.45+$K$11:$K$100*0.55,$A$11:$A$100&lt;&gt;""""),
0))"),"")</f>
        <v/>
      </c>
    </row>
    <row r="111">
      <c r="O111" s="36"/>
      <c r="U111" s="36" t="str">
        <f>IFERROR(__xludf.DUMMYFUNCTION("IF(A111="""","""",RANK(
(F111*0.45+K111*0.55),
FILTER($F$11:$F$100*0.45+$K$11:$K$100*0.55,$A$11:$A$100&lt;&gt;""""),
0))"),"")</f>
        <v/>
      </c>
    </row>
    <row r="112">
      <c r="O112" s="36"/>
      <c r="U112" s="36" t="str">
        <f>IFERROR(__xludf.DUMMYFUNCTION("IF(A112="""","""",RANK(
(F112*0.45+K112*0.55),
FILTER($F$11:$F$100*0.45+$K$11:$K$100*0.55,$A$11:$A$100&lt;&gt;""""),
0))"),"")</f>
        <v/>
      </c>
    </row>
    <row r="113">
      <c r="O113" s="36"/>
      <c r="U113" s="36" t="str">
        <f>IFERROR(__xludf.DUMMYFUNCTION("IF(A113="""","""",RANK(
(F113*0.45+K113*0.55),
FILTER($F$11:$F$100*0.45+$K$11:$K$100*0.55,$A$11:$A$100&lt;&gt;""""),
0))"),"")</f>
        <v/>
      </c>
    </row>
    <row r="114">
      <c r="O114" s="36"/>
      <c r="U114" s="36" t="str">
        <f>IFERROR(__xludf.DUMMYFUNCTION("IF(A114="""","""",RANK(
(F114*0.45+K114*0.55),
FILTER($F$11:$F$100*0.45+$K$11:$K$100*0.55,$A$11:$A$100&lt;&gt;""""),
0))"),"")</f>
        <v/>
      </c>
    </row>
    <row r="115">
      <c r="O115" s="36"/>
      <c r="U115" s="36" t="str">
        <f>IFERROR(__xludf.DUMMYFUNCTION("IF(A115="""","""",RANK(
(F115*0.45+K115*0.55),
FILTER($F$11:$F$100*0.45+$K$11:$K$100*0.55,$A$11:$A$100&lt;&gt;""""),
0))"),"")</f>
        <v/>
      </c>
    </row>
    <row r="116">
      <c r="O116" s="36"/>
      <c r="U116" s="36" t="str">
        <f>IFERROR(__xludf.DUMMYFUNCTION("IF(A116="""","""",RANK(
(F116*0.45+K116*0.55),
FILTER($F$11:$F$100*0.45+$K$11:$K$100*0.55,$A$11:$A$100&lt;&gt;""""),
0))"),"")</f>
        <v/>
      </c>
    </row>
    <row r="117">
      <c r="O117" s="36"/>
      <c r="U117" s="36" t="str">
        <f>IFERROR(__xludf.DUMMYFUNCTION("IF(A117="""","""",RANK(
(F117*0.45+K117*0.55),
FILTER($F$11:$F$100*0.45+$K$11:$K$100*0.55,$A$11:$A$100&lt;&gt;""""),
0))"),"")</f>
        <v/>
      </c>
    </row>
    <row r="118">
      <c r="O118" s="36"/>
      <c r="U118" s="36" t="str">
        <f>IFERROR(__xludf.DUMMYFUNCTION("IF(A118="""","""",RANK(
(F118*0.45+K118*0.55),
FILTER($F$11:$F$100*0.45+$K$11:$K$100*0.55,$A$11:$A$100&lt;&gt;""""),
0))"),"")</f>
        <v/>
      </c>
    </row>
    <row r="119">
      <c r="O119" s="36"/>
      <c r="U119" s="36" t="str">
        <f>IFERROR(__xludf.DUMMYFUNCTION("IF(A119="""","""",RANK(
(F119*0.45+K119*0.55),
FILTER($F$11:$F$100*0.45+$K$11:$K$100*0.55,$A$11:$A$100&lt;&gt;""""),
0))"),"")</f>
        <v/>
      </c>
    </row>
    <row r="120">
      <c r="O120" s="36"/>
      <c r="U120" s="36" t="str">
        <f>IFERROR(__xludf.DUMMYFUNCTION("IF(A120="""","""",RANK(
(F120*0.45+K120*0.55),
FILTER($F$11:$F$100*0.45+$K$11:$K$100*0.55,$A$11:$A$100&lt;&gt;""""),
0))"),"")</f>
        <v/>
      </c>
    </row>
    <row r="121">
      <c r="O121" s="36"/>
      <c r="U121" s="36" t="str">
        <f>IFERROR(__xludf.DUMMYFUNCTION("IF(A121="""","""",RANK(
(F121*0.45+K121*0.55),
FILTER($F$11:$F$100*0.45+$K$11:$K$100*0.55,$A$11:$A$100&lt;&gt;""""),
0))"),"")</f>
        <v/>
      </c>
    </row>
    <row r="122">
      <c r="O122" s="36"/>
      <c r="U122" s="36" t="str">
        <f>IFERROR(__xludf.DUMMYFUNCTION("IF(A122="""","""",RANK(
(F122*0.45+K122*0.55),
FILTER($F$11:$F$100*0.45+$K$11:$K$100*0.55,$A$11:$A$100&lt;&gt;""""),
0))"),"")</f>
        <v/>
      </c>
    </row>
    <row r="123">
      <c r="O123" s="36"/>
      <c r="U123" s="36" t="str">
        <f>IFERROR(__xludf.DUMMYFUNCTION("IF(A123="""","""",RANK(
(F123*0.45+K123*0.55),
FILTER($F$11:$F$100*0.45+$K$11:$K$100*0.55,$A$11:$A$100&lt;&gt;""""),
0))"),"")</f>
        <v/>
      </c>
    </row>
    <row r="124">
      <c r="O124" s="36"/>
      <c r="U124" s="36" t="str">
        <f>IFERROR(__xludf.DUMMYFUNCTION("IF(A124="""","""",RANK(
(F124*0.45+K124*0.55),
FILTER($F$11:$F$100*0.45+$K$11:$K$100*0.55,$A$11:$A$100&lt;&gt;""""),
0))"),"")</f>
        <v/>
      </c>
    </row>
    <row r="125">
      <c r="O125" s="36"/>
      <c r="U125" s="36" t="str">
        <f>IFERROR(__xludf.DUMMYFUNCTION("IF(A125="""","""",RANK(
(F125*0.45+K125*0.55),
FILTER($F$11:$F$100*0.45+$K$11:$K$100*0.55,$A$11:$A$100&lt;&gt;""""),
0))"),"")</f>
        <v/>
      </c>
    </row>
    <row r="126">
      <c r="O126" s="36"/>
      <c r="U126" s="36" t="str">
        <f>IFERROR(__xludf.DUMMYFUNCTION("IF(A126="""","""",RANK(
(F126*0.45+K126*0.55),
FILTER($F$11:$F$100*0.45+$K$11:$K$100*0.55,$A$11:$A$100&lt;&gt;""""),
0))"),"")</f>
        <v/>
      </c>
    </row>
    <row r="127">
      <c r="O127" s="36"/>
      <c r="U127" s="36" t="str">
        <f>IFERROR(__xludf.DUMMYFUNCTION("IF(A127="""","""",RANK(
(F127*0.45+K127*0.55),
FILTER($F$11:$F$100*0.45+$K$11:$K$100*0.55,$A$11:$A$100&lt;&gt;""""),
0))"),"")</f>
        <v/>
      </c>
    </row>
    <row r="128">
      <c r="O128" s="36"/>
      <c r="U128" s="36" t="str">
        <f>IFERROR(__xludf.DUMMYFUNCTION("IF(A128="""","""",RANK(
(F128*0.45+K128*0.55),
FILTER($F$11:$F$100*0.45+$K$11:$K$100*0.55,$A$11:$A$100&lt;&gt;""""),
0))"),"")</f>
        <v/>
      </c>
    </row>
    <row r="129">
      <c r="O129" s="36"/>
      <c r="U129" s="36" t="str">
        <f>IFERROR(__xludf.DUMMYFUNCTION("IF(A129="""","""",RANK(
(F129*0.45+K129*0.55),
FILTER($F$11:$F$100*0.45+$K$11:$K$100*0.55,$A$11:$A$100&lt;&gt;""""),
0))"),"")</f>
        <v/>
      </c>
    </row>
    <row r="130">
      <c r="O130" s="36"/>
      <c r="U130" s="36" t="str">
        <f>IFERROR(__xludf.DUMMYFUNCTION("IF(A130="""","""",RANK(
(F130*0.45+K130*0.55),
FILTER($F$11:$F$100*0.45+$K$11:$K$100*0.55,$A$11:$A$100&lt;&gt;""""),
0))"),"")</f>
        <v/>
      </c>
    </row>
    <row r="131">
      <c r="O131" s="36"/>
      <c r="U131" s="36" t="str">
        <f>IFERROR(__xludf.DUMMYFUNCTION("IF(A131="""","""",RANK(
(F131*0.45+K131*0.55),
FILTER($F$11:$F$100*0.45+$K$11:$K$100*0.55,$A$11:$A$100&lt;&gt;""""),
0))"),"")</f>
        <v/>
      </c>
    </row>
    <row r="132">
      <c r="O132" s="36"/>
      <c r="U132" s="36" t="str">
        <f>IFERROR(__xludf.DUMMYFUNCTION("IF(A132="""","""",RANK(
(F132*0.45+K132*0.55),
FILTER($F$11:$F$100*0.45+$K$11:$K$100*0.55,$A$11:$A$100&lt;&gt;""""),
0))"),"")</f>
        <v/>
      </c>
    </row>
    <row r="133">
      <c r="O133" s="36"/>
      <c r="U133" s="36" t="str">
        <f>IFERROR(__xludf.DUMMYFUNCTION("IF(A133="""","""",RANK(
(F133*0.45+K133*0.55),
FILTER($F$11:$F$100*0.45+$K$11:$K$100*0.55,$A$11:$A$100&lt;&gt;""""),
0))"),"")</f>
        <v/>
      </c>
    </row>
    <row r="134">
      <c r="O134" s="36"/>
      <c r="U134" s="36" t="str">
        <f>IFERROR(__xludf.DUMMYFUNCTION("IF(A134="""","""",RANK(
(F134*0.45+K134*0.55),
FILTER($F$11:$F$100*0.45+$K$11:$K$100*0.55,$A$11:$A$100&lt;&gt;""""),
0))"),"")</f>
        <v/>
      </c>
    </row>
    <row r="135">
      <c r="O135" s="36"/>
      <c r="U135" s="36" t="str">
        <f>IFERROR(__xludf.DUMMYFUNCTION("IF(A135="""","""",RANK(
(F135*0.45+K135*0.55),
FILTER($F$11:$F$100*0.45+$K$11:$K$100*0.55,$A$11:$A$100&lt;&gt;""""),
0))"),"")</f>
        <v/>
      </c>
    </row>
    <row r="136">
      <c r="O136" s="36"/>
      <c r="U136" s="36" t="str">
        <f>IFERROR(__xludf.DUMMYFUNCTION("IF(A136="""","""",RANK(
(F136*0.45+K136*0.55),
FILTER($F$11:$F$100*0.45+$K$11:$K$100*0.55,$A$11:$A$100&lt;&gt;""""),
0))"),"")</f>
        <v/>
      </c>
    </row>
    <row r="137">
      <c r="O137" s="36"/>
      <c r="U137" s="36" t="str">
        <f>IFERROR(__xludf.DUMMYFUNCTION("IF(A137="""","""",RANK(
(F137*0.45+K137*0.55),
FILTER($F$11:$F$100*0.45+$K$11:$K$100*0.55,$A$11:$A$100&lt;&gt;""""),
0))"),"")</f>
        <v/>
      </c>
    </row>
    <row r="138">
      <c r="O138" s="36"/>
      <c r="U138" s="36" t="str">
        <f>IFERROR(__xludf.DUMMYFUNCTION("IF(A138="""","""",RANK(
(F138*0.45+K138*0.55),
FILTER($F$11:$F$100*0.45+$K$11:$K$100*0.55,$A$11:$A$100&lt;&gt;""""),
0))"),"")</f>
        <v/>
      </c>
    </row>
    <row r="139">
      <c r="O139" s="36"/>
    </row>
    <row r="140">
      <c r="O140" s="36"/>
    </row>
    <row r="141">
      <c r="O141" s="36"/>
    </row>
    <row r="142">
      <c r="O142" s="36"/>
    </row>
    <row r="143">
      <c r="O143" s="36"/>
    </row>
    <row r="144">
      <c r="O144" s="36"/>
    </row>
    <row r="145">
      <c r="O145" s="36"/>
    </row>
    <row r="146">
      <c r="O146" s="36"/>
    </row>
    <row r="147">
      <c r="O147" s="36"/>
    </row>
    <row r="148">
      <c r="O148" s="36"/>
    </row>
    <row r="149">
      <c r="O149" s="36"/>
    </row>
    <row r="150">
      <c r="O150" s="36"/>
    </row>
    <row r="151">
      <c r="O151" s="36"/>
    </row>
    <row r="152">
      <c r="O152" s="36"/>
    </row>
    <row r="153">
      <c r="O153" s="36"/>
    </row>
    <row r="154">
      <c r="O154" s="36"/>
    </row>
    <row r="155">
      <c r="O155" s="36"/>
    </row>
    <row r="156">
      <c r="O156" s="36"/>
    </row>
    <row r="157">
      <c r="O157" s="36"/>
    </row>
    <row r="158">
      <c r="O158" s="36"/>
    </row>
    <row r="159">
      <c r="O159" s="36"/>
    </row>
    <row r="160">
      <c r="O160" s="36"/>
    </row>
    <row r="161">
      <c r="O161" s="36"/>
    </row>
    <row r="162">
      <c r="O162" s="36"/>
    </row>
    <row r="163">
      <c r="O163" s="36"/>
    </row>
    <row r="164">
      <c r="O164" s="36"/>
    </row>
    <row r="165">
      <c r="O165" s="36"/>
    </row>
    <row r="166">
      <c r="O166" s="36"/>
    </row>
    <row r="167">
      <c r="O167" s="36"/>
    </row>
    <row r="168">
      <c r="O168" s="36"/>
    </row>
    <row r="169">
      <c r="O169" s="36"/>
    </row>
    <row r="170">
      <c r="O170" s="36"/>
    </row>
    <row r="171">
      <c r="O171" s="36"/>
    </row>
    <row r="172">
      <c r="O172" s="36"/>
    </row>
    <row r="173">
      <c r="O173" s="36"/>
    </row>
    <row r="174">
      <c r="O174" s="36"/>
    </row>
    <row r="175">
      <c r="O175" s="36"/>
    </row>
    <row r="176">
      <c r="O176" s="36"/>
    </row>
    <row r="177">
      <c r="O177" s="36"/>
    </row>
    <row r="178">
      <c r="O178" s="36"/>
    </row>
    <row r="179">
      <c r="O179" s="36"/>
    </row>
    <row r="180">
      <c r="O180" s="36"/>
    </row>
    <row r="181">
      <c r="O181" s="36"/>
    </row>
    <row r="182">
      <c r="O182" s="36"/>
    </row>
    <row r="183">
      <c r="O183" s="36"/>
    </row>
    <row r="184">
      <c r="O184" s="36"/>
    </row>
    <row r="185">
      <c r="O185" s="36"/>
    </row>
    <row r="186">
      <c r="O186" s="36"/>
    </row>
    <row r="187">
      <c r="O187" s="36"/>
    </row>
    <row r="188">
      <c r="O188" s="36"/>
    </row>
    <row r="189">
      <c r="O189" s="36"/>
    </row>
    <row r="190">
      <c r="O190" s="36"/>
    </row>
    <row r="191">
      <c r="O191" s="36"/>
    </row>
    <row r="192">
      <c r="O192" s="36"/>
    </row>
    <row r="193">
      <c r="O193" s="36"/>
    </row>
    <row r="194">
      <c r="O194" s="36"/>
    </row>
    <row r="195">
      <c r="O195" s="36"/>
    </row>
    <row r="196">
      <c r="O196" s="36"/>
    </row>
    <row r="197">
      <c r="O197" s="36"/>
    </row>
    <row r="198">
      <c r="O198" s="36"/>
    </row>
    <row r="199">
      <c r="O199" s="36"/>
    </row>
    <row r="200">
      <c r="O200" s="36"/>
    </row>
    <row r="201">
      <c r="O201" s="36"/>
    </row>
    <row r="202">
      <c r="O202" s="36"/>
    </row>
    <row r="203">
      <c r="O203" s="36"/>
    </row>
    <row r="204">
      <c r="O204" s="36"/>
    </row>
    <row r="205">
      <c r="O205" s="36"/>
    </row>
    <row r="206">
      <c r="O206" s="36"/>
    </row>
    <row r="207">
      <c r="O207" s="36"/>
    </row>
    <row r="208">
      <c r="O208" s="36"/>
    </row>
    <row r="209">
      <c r="O209" s="36"/>
    </row>
    <row r="210">
      <c r="O210" s="36"/>
    </row>
    <row r="211">
      <c r="O211" s="36"/>
    </row>
    <row r="212">
      <c r="O212" s="36"/>
    </row>
    <row r="213">
      <c r="O213" s="36"/>
    </row>
    <row r="214">
      <c r="O214" s="36"/>
    </row>
    <row r="215">
      <c r="O215" s="36"/>
    </row>
    <row r="216">
      <c r="O216" s="36"/>
    </row>
    <row r="217">
      <c r="O217" s="36"/>
    </row>
    <row r="218">
      <c r="O218" s="36"/>
    </row>
    <row r="219">
      <c r="O219" s="36"/>
    </row>
    <row r="220">
      <c r="O220" s="36"/>
    </row>
    <row r="221">
      <c r="O221" s="36"/>
    </row>
    <row r="222">
      <c r="O222" s="36"/>
    </row>
    <row r="223">
      <c r="O223" s="36"/>
    </row>
    <row r="224">
      <c r="O224" s="36"/>
    </row>
    <row r="225">
      <c r="O225" s="36"/>
    </row>
    <row r="226">
      <c r="O226" s="36"/>
    </row>
    <row r="227">
      <c r="O227" s="36"/>
    </row>
    <row r="228">
      <c r="O228" s="36"/>
    </row>
    <row r="229">
      <c r="O229" s="36"/>
    </row>
    <row r="230">
      <c r="O230" s="36"/>
    </row>
    <row r="231">
      <c r="O231" s="36"/>
    </row>
    <row r="232">
      <c r="O232" s="36"/>
    </row>
    <row r="233">
      <c r="O233" s="36"/>
    </row>
    <row r="234">
      <c r="O234" s="36"/>
    </row>
    <row r="235">
      <c r="O235" s="36"/>
    </row>
    <row r="236">
      <c r="O236" s="36"/>
    </row>
    <row r="237">
      <c r="O237" s="36"/>
    </row>
    <row r="238">
      <c r="O238" s="36"/>
    </row>
    <row r="239">
      <c r="O239" s="36"/>
    </row>
    <row r="240">
      <c r="O240" s="36"/>
    </row>
    <row r="241">
      <c r="O241" s="36"/>
    </row>
    <row r="242">
      <c r="O242" s="36"/>
    </row>
    <row r="243">
      <c r="O243" s="36"/>
    </row>
    <row r="244">
      <c r="O244" s="36"/>
    </row>
    <row r="245">
      <c r="O245" s="36"/>
    </row>
    <row r="246">
      <c r="O246" s="36"/>
    </row>
    <row r="247">
      <c r="O247" s="36"/>
    </row>
    <row r="248">
      <c r="O248" s="36"/>
    </row>
    <row r="249">
      <c r="O249" s="36"/>
    </row>
    <row r="250">
      <c r="O250" s="36"/>
    </row>
    <row r="251">
      <c r="O251" s="36"/>
    </row>
    <row r="252">
      <c r="O252" s="36"/>
    </row>
    <row r="253">
      <c r="O253" s="36"/>
    </row>
    <row r="254">
      <c r="O254" s="36"/>
    </row>
    <row r="255">
      <c r="O255" s="36"/>
    </row>
    <row r="256">
      <c r="O256" s="36"/>
    </row>
    <row r="257">
      <c r="O257" s="36"/>
    </row>
    <row r="258">
      <c r="O258" s="36"/>
    </row>
    <row r="259">
      <c r="O259" s="36"/>
    </row>
    <row r="260">
      <c r="O260" s="36"/>
    </row>
    <row r="261">
      <c r="O261" s="36"/>
    </row>
    <row r="262">
      <c r="O262" s="36"/>
    </row>
    <row r="263">
      <c r="O263" s="36"/>
    </row>
    <row r="264">
      <c r="O264" s="36"/>
    </row>
    <row r="265">
      <c r="O265" s="36"/>
    </row>
    <row r="266">
      <c r="O266" s="36"/>
    </row>
    <row r="267">
      <c r="O267" s="36"/>
    </row>
    <row r="268">
      <c r="O268" s="36"/>
    </row>
    <row r="269">
      <c r="O269" s="36"/>
    </row>
    <row r="270">
      <c r="O270" s="36"/>
    </row>
    <row r="271">
      <c r="O271" s="36"/>
    </row>
    <row r="272">
      <c r="O272" s="36"/>
    </row>
    <row r="273">
      <c r="O273" s="36"/>
    </row>
    <row r="274">
      <c r="O274" s="36"/>
    </row>
    <row r="275">
      <c r="O275" s="36"/>
    </row>
    <row r="276">
      <c r="O276" s="36"/>
    </row>
    <row r="277">
      <c r="O277" s="36"/>
    </row>
    <row r="278">
      <c r="O278" s="36"/>
    </row>
    <row r="279">
      <c r="O279" s="36"/>
    </row>
    <row r="280">
      <c r="O280" s="36"/>
    </row>
    <row r="281">
      <c r="O281" s="36"/>
    </row>
    <row r="282">
      <c r="O282" s="36"/>
    </row>
    <row r="283">
      <c r="O283" s="36"/>
    </row>
    <row r="284">
      <c r="O284" s="36"/>
    </row>
    <row r="285">
      <c r="O285" s="36"/>
    </row>
    <row r="286">
      <c r="O286" s="36"/>
    </row>
    <row r="287">
      <c r="O287" s="36"/>
    </row>
    <row r="288">
      <c r="O288" s="36"/>
    </row>
    <row r="289">
      <c r="O289" s="36"/>
    </row>
    <row r="290">
      <c r="O290" s="36"/>
    </row>
    <row r="291">
      <c r="O291" s="36"/>
    </row>
    <row r="292">
      <c r="O292" s="36"/>
    </row>
    <row r="293">
      <c r="O293" s="36"/>
    </row>
    <row r="294">
      <c r="O294" s="36"/>
    </row>
    <row r="295">
      <c r="O295" s="36"/>
    </row>
    <row r="296">
      <c r="O296" s="36"/>
    </row>
    <row r="297">
      <c r="O297" s="36"/>
    </row>
    <row r="298">
      <c r="O298" s="36"/>
    </row>
    <row r="299">
      <c r="O299" s="36"/>
    </row>
    <row r="300">
      <c r="O300" s="36"/>
    </row>
    <row r="301">
      <c r="O301" s="36"/>
    </row>
    <row r="302">
      <c r="O302" s="36"/>
    </row>
    <row r="303">
      <c r="O303" s="36"/>
    </row>
    <row r="304">
      <c r="O304" s="36"/>
    </row>
    <row r="305">
      <c r="O305" s="36"/>
    </row>
    <row r="306">
      <c r="O306" s="36"/>
    </row>
    <row r="307">
      <c r="O307" s="36"/>
    </row>
    <row r="308">
      <c r="O308" s="36"/>
    </row>
    <row r="309">
      <c r="O309" s="36"/>
    </row>
    <row r="310">
      <c r="O310" s="36"/>
    </row>
    <row r="311">
      <c r="O311" s="36"/>
    </row>
    <row r="312">
      <c r="O312" s="36"/>
    </row>
    <row r="313">
      <c r="O313" s="36"/>
    </row>
    <row r="314">
      <c r="O314" s="36"/>
    </row>
    <row r="315">
      <c r="O315" s="36"/>
    </row>
    <row r="316">
      <c r="O316" s="36"/>
    </row>
    <row r="317">
      <c r="O317" s="36"/>
    </row>
    <row r="318">
      <c r="O318" s="36"/>
    </row>
    <row r="319">
      <c r="O319" s="36"/>
    </row>
    <row r="320">
      <c r="O320" s="36"/>
    </row>
    <row r="321">
      <c r="O321" s="36"/>
    </row>
    <row r="322">
      <c r="O322" s="36"/>
    </row>
    <row r="323">
      <c r="O323" s="36"/>
    </row>
    <row r="324">
      <c r="O324" s="36"/>
    </row>
    <row r="325">
      <c r="O325" s="36"/>
    </row>
    <row r="326">
      <c r="O326" s="36"/>
    </row>
    <row r="327">
      <c r="O327" s="36"/>
    </row>
    <row r="328">
      <c r="O328" s="36"/>
    </row>
    <row r="329">
      <c r="O329" s="36"/>
    </row>
    <row r="330">
      <c r="O330" s="36"/>
    </row>
    <row r="331">
      <c r="O331" s="36"/>
    </row>
    <row r="332">
      <c r="O332" s="36"/>
    </row>
    <row r="333">
      <c r="O333" s="36"/>
    </row>
    <row r="334">
      <c r="O334" s="36"/>
    </row>
    <row r="335">
      <c r="O335" s="36"/>
    </row>
    <row r="336">
      <c r="O336" s="36"/>
    </row>
    <row r="337">
      <c r="O337" s="36"/>
    </row>
    <row r="338">
      <c r="O338" s="36"/>
    </row>
    <row r="339">
      <c r="O339" s="36"/>
    </row>
    <row r="340">
      <c r="O340" s="36"/>
    </row>
    <row r="341">
      <c r="O341" s="36"/>
    </row>
    <row r="342">
      <c r="O342" s="36"/>
    </row>
    <row r="343">
      <c r="O343" s="36"/>
    </row>
    <row r="344">
      <c r="O344" s="36"/>
    </row>
    <row r="345">
      <c r="O345" s="36"/>
    </row>
    <row r="346">
      <c r="O346" s="36"/>
    </row>
    <row r="347">
      <c r="O347" s="36"/>
    </row>
    <row r="348">
      <c r="O348" s="36"/>
    </row>
    <row r="349">
      <c r="O349" s="36"/>
    </row>
    <row r="350">
      <c r="O350" s="36"/>
    </row>
    <row r="351">
      <c r="O351" s="36"/>
    </row>
    <row r="352">
      <c r="O352" s="36"/>
    </row>
    <row r="353">
      <c r="O353" s="36"/>
    </row>
    <row r="354">
      <c r="O354" s="36"/>
    </row>
    <row r="355">
      <c r="O355" s="36"/>
    </row>
    <row r="356">
      <c r="O356" s="36"/>
    </row>
    <row r="357">
      <c r="O357" s="36"/>
    </row>
    <row r="358">
      <c r="O358" s="36"/>
    </row>
    <row r="359">
      <c r="O359" s="36"/>
    </row>
    <row r="360">
      <c r="O360" s="36"/>
    </row>
    <row r="361">
      <c r="O361" s="36"/>
    </row>
    <row r="362">
      <c r="O362" s="36"/>
    </row>
    <row r="363">
      <c r="O363" s="36"/>
    </row>
    <row r="364">
      <c r="O364" s="36"/>
    </row>
    <row r="365">
      <c r="O365" s="36"/>
    </row>
    <row r="366">
      <c r="O366" s="36"/>
    </row>
    <row r="367">
      <c r="O367" s="36"/>
    </row>
    <row r="368">
      <c r="O368" s="36"/>
    </row>
    <row r="369">
      <c r="O369" s="36"/>
    </row>
    <row r="370">
      <c r="O370" s="36"/>
    </row>
    <row r="371">
      <c r="O371" s="36"/>
    </row>
    <row r="372">
      <c r="O372" s="36"/>
    </row>
    <row r="373">
      <c r="O373" s="36"/>
    </row>
    <row r="374">
      <c r="O374" s="36"/>
    </row>
    <row r="375">
      <c r="O375" s="36"/>
    </row>
    <row r="376">
      <c r="O376" s="36"/>
    </row>
    <row r="377">
      <c r="O377" s="36"/>
    </row>
    <row r="378">
      <c r="O378" s="36"/>
    </row>
    <row r="379">
      <c r="O379" s="36"/>
    </row>
    <row r="380">
      <c r="O380" s="36"/>
    </row>
    <row r="381">
      <c r="O381" s="36"/>
    </row>
    <row r="382">
      <c r="O382" s="36"/>
    </row>
    <row r="383">
      <c r="O383" s="36"/>
    </row>
    <row r="384">
      <c r="O384" s="36"/>
    </row>
    <row r="385">
      <c r="O385" s="36"/>
    </row>
    <row r="386">
      <c r="O386" s="36"/>
    </row>
    <row r="387">
      <c r="O387" s="36"/>
    </row>
    <row r="388">
      <c r="O388" s="36"/>
    </row>
    <row r="389">
      <c r="O389" s="36"/>
    </row>
    <row r="390">
      <c r="O390" s="36"/>
    </row>
    <row r="391">
      <c r="O391" s="36"/>
    </row>
    <row r="392">
      <c r="O392" s="36"/>
    </row>
    <row r="393">
      <c r="O393" s="36"/>
    </row>
    <row r="394">
      <c r="O394" s="36"/>
    </row>
    <row r="395">
      <c r="O395" s="36"/>
    </row>
    <row r="396">
      <c r="O396" s="36"/>
    </row>
    <row r="397">
      <c r="O397" s="36"/>
    </row>
    <row r="398">
      <c r="O398" s="36"/>
    </row>
    <row r="399">
      <c r="O399" s="36"/>
    </row>
    <row r="400">
      <c r="O400" s="36"/>
    </row>
    <row r="401">
      <c r="O401" s="36"/>
    </row>
    <row r="402">
      <c r="O402" s="36"/>
    </row>
    <row r="403">
      <c r="O403" s="36"/>
    </row>
    <row r="404">
      <c r="O404" s="36"/>
    </row>
    <row r="405">
      <c r="O405" s="36"/>
    </row>
    <row r="406">
      <c r="O406" s="36"/>
    </row>
    <row r="407">
      <c r="O407" s="36"/>
    </row>
    <row r="408">
      <c r="O408" s="36"/>
    </row>
    <row r="409">
      <c r="O409" s="36"/>
    </row>
    <row r="410">
      <c r="O410" s="36"/>
    </row>
    <row r="411">
      <c r="O411" s="36"/>
    </row>
    <row r="412">
      <c r="O412" s="36"/>
    </row>
    <row r="413">
      <c r="O413" s="36"/>
    </row>
    <row r="414">
      <c r="O414" s="36"/>
    </row>
    <row r="415">
      <c r="O415" s="36"/>
    </row>
    <row r="416">
      <c r="O416" s="36"/>
    </row>
    <row r="417">
      <c r="O417" s="36"/>
    </row>
    <row r="418">
      <c r="O418" s="36"/>
    </row>
    <row r="419">
      <c r="O419" s="36"/>
    </row>
    <row r="420">
      <c r="O420" s="36"/>
    </row>
    <row r="421">
      <c r="O421" s="36"/>
    </row>
    <row r="422">
      <c r="O422" s="36"/>
    </row>
    <row r="423">
      <c r="O423" s="36"/>
    </row>
    <row r="424">
      <c r="O424" s="36"/>
    </row>
    <row r="425">
      <c r="O425" s="36"/>
    </row>
    <row r="426">
      <c r="O426" s="36"/>
    </row>
    <row r="427">
      <c r="O427" s="36"/>
    </row>
    <row r="428">
      <c r="O428" s="36"/>
    </row>
    <row r="429">
      <c r="O429" s="36"/>
    </row>
    <row r="430">
      <c r="O430" s="36"/>
    </row>
    <row r="431">
      <c r="O431" s="36"/>
    </row>
    <row r="432">
      <c r="O432" s="36"/>
    </row>
    <row r="433">
      <c r="O433" s="36"/>
    </row>
    <row r="434">
      <c r="O434" s="36"/>
    </row>
    <row r="435">
      <c r="O435" s="36"/>
    </row>
    <row r="436">
      <c r="O436" s="36"/>
    </row>
    <row r="437">
      <c r="O437" s="36"/>
    </row>
    <row r="438">
      <c r="O438" s="36"/>
    </row>
    <row r="439">
      <c r="O439" s="36"/>
    </row>
    <row r="440">
      <c r="O440" s="36"/>
    </row>
    <row r="441">
      <c r="O441" s="36"/>
    </row>
    <row r="442">
      <c r="O442" s="36"/>
    </row>
    <row r="443">
      <c r="O443" s="36"/>
    </row>
    <row r="444">
      <c r="O444" s="36"/>
    </row>
    <row r="445">
      <c r="O445" s="36"/>
    </row>
    <row r="446">
      <c r="O446" s="36"/>
    </row>
    <row r="447">
      <c r="O447" s="36"/>
    </row>
    <row r="448">
      <c r="O448" s="36"/>
    </row>
    <row r="449">
      <c r="O449" s="36"/>
    </row>
    <row r="450">
      <c r="O450" s="36"/>
    </row>
    <row r="451">
      <c r="O451" s="36"/>
    </row>
    <row r="452">
      <c r="O452" s="36"/>
    </row>
    <row r="453">
      <c r="O453" s="36"/>
    </row>
    <row r="454">
      <c r="O454" s="36"/>
    </row>
    <row r="455">
      <c r="O455" s="36"/>
    </row>
    <row r="456">
      <c r="O456" s="36"/>
    </row>
    <row r="457">
      <c r="O457" s="36"/>
    </row>
    <row r="458">
      <c r="O458" s="36"/>
    </row>
    <row r="459">
      <c r="O459" s="36"/>
    </row>
    <row r="460">
      <c r="O460" s="36"/>
    </row>
    <row r="461">
      <c r="O461" s="36"/>
    </row>
    <row r="462">
      <c r="O462" s="36"/>
    </row>
    <row r="463">
      <c r="O463" s="36"/>
    </row>
    <row r="464">
      <c r="O464" s="36"/>
    </row>
    <row r="465">
      <c r="O465" s="36"/>
    </row>
    <row r="466">
      <c r="O466" s="36"/>
    </row>
    <row r="467">
      <c r="O467" s="36"/>
    </row>
    <row r="468">
      <c r="O468" s="36"/>
    </row>
    <row r="469">
      <c r="O469" s="36"/>
    </row>
    <row r="470">
      <c r="O470" s="36"/>
    </row>
    <row r="471">
      <c r="O471" s="36"/>
    </row>
    <row r="472">
      <c r="O472" s="36"/>
    </row>
    <row r="473">
      <c r="O473" s="36"/>
    </row>
    <row r="474">
      <c r="O474" s="36"/>
    </row>
    <row r="475">
      <c r="O475" s="36"/>
    </row>
    <row r="476">
      <c r="O476" s="36"/>
    </row>
    <row r="477">
      <c r="O477" s="36"/>
    </row>
    <row r="478">
      <c r="O478" s="36"/>
    </row>
    <row r="479">
      <c r="O479" s="36"/>
    </row>
    <row r="480">
      <c r="O480" s="36"/>
    </row>
    <row r="481">
      <c r="O481" s="36"/>
    </row>
    <row r="482">
      <c r="O482" s="36"/>
    </row>
    <row r="483">
      <c r="O483" s="36"/>
    </row>
    <row r="484">
      <c r="O484" s="36"/>
    </row>
    <row r="485">
      <c r="O485" s="36"/>
    </row>
    <row r="486">
      <c r="O486" s="36"/>
    </row>
    <row r="487">
      <c r="O487" s="36"/>
    </row>
    <row r="488">
      <c r="O488" s="36"/>
    </row>
    <row r="489">
      <c r="O489" s="36"/>
    </row>
    <row r="490">
      <c r="O490" s="36"/>
    </row>
    <row r="491">
      <c r="O491" s="36"/>
    </row>
    <row r="492">
      <c r="O492" s="36"/>
    </row>
    <row r="493">
      <c r="O493" s="36"/>
    </row>
    <row r="494">
      <c r="O494" s="36"/>
    </row>
    <row r="495">
      <c r="O495" s="36"/>
    </row>
    <row r="496">
      <c r="O496" s="36"/>
    </row>
    <row r="497">
      <c r="O497" s="36"/>
    </row>
    <row r="498">
      <c r="O498" s="36"/>
    </row>
    <row r="499">
      <c r="O499" s="36"/>
    </row>
    <row r="500">
      <c r="O500" s="36"/>
    </row>
    <row r="501">
      <c r="O501" s="36"/>
    </row>
    <row r="502">
      <c r="O502" s="36"/>
    </row>
    <row r="503">
      <c r="O503" s="36"/>
    </row>
    <row r="504">
      <c r="O504" s="36"/>
    </row>
    <row r="505">
      <c r="O505" s="36"/>
    </row>
    <row r="506">
      <c r="O506" s="36"/>
    </row>
    <row r="507">
      <c r="O507" s="36"/>
    </row>
    <row r="508">
      <c r="O508" s="36"/>
    </row>
    <row r="509">
      <c r="O509" s="36"/>
    </row>
    <row r="510">
      <c r="O510" s="36"/>
    </row>
    <row r="511">
      <c r="O511" s="36"/>
    </row>
    <row r="512">
      <c r="O512" s="36"/>
    </row>
    <row r="513">
      <c r="O513" s="36"/>
    </row>
    <row r="514">
      <c r="O514" s="36"/>
    </row>
    <row r="515">
      <c r="O515" s="36"/>
    </row>
    <row r="516">
      <c r="O516" s="36"/>
    </row>
    <row r="517">
      <c r="O517" s="36"/>
    </row>
    <row r="518">
      <c r="O518" s="36"/>
    </row>
    <row r="519">
      <c r="O519" s="36"/>
    </row>
    <row r="520">
      <c r="O520" s="36"/>
    </row>
    <row r="521">
      <c r="O521" s="36"/>
    </row>
    <row r="522">
      <c r="O522" s="36"/>
    </row>
    <row r="523">
      <c r="O523" s="36"/>
    </row>
    <row r="524">
      <c r="O524" s="36"/>
    </row>
    <row r="525">
      <c r="O525" s="36"/>
    </row>
    <row r="526">
      <c r="O526" s="36"/>
    </row>
    <row r="527">
      <c r="O527" s="36"/>
    </row>
    <row r="528">
      <c r="O528" s="36"/>
    </row>
    <row r="529">
      <c r="O529" s="36"/>
    </row>
    <row r="530">
      <c r="O530" s="36"/>
    </row>
    <row r="531">
      <c r="O531" s="36"/>
    </row>
    <row r="532">
      <c r="O532" s="36"/>
    </row>
    <row r="533">
      <c r="O533" s="36"/>
    </row>
    <row r="534">
      <c r="O534" s="36"/>
    </row>
    <row r="535">
      <c r="O535" s="36"/>
    </row>
    <row r="536">
      <c r="O536" s="36"/>
    </row>
    <row r="537">
      <c r="O537" s="36"/>
    </row>
    <row r="538">
      <c r="O538" s="36"/>
    </row>
    <row r="539">
      <c r="O539" s="36"/>
    </row>
    <row r="540">
      <c r="O540" s="36"/>
    </row>
    <row r="541">
      <c r="O541" s="36"/>
    </row>
    <row r="542">
      <c r="O542" s="36"/>
    </row>
    <row r="543">
      <c r="O543" s="36"/>
    </row>
    <row r="544">
      <c r="O544" s="36"/>
    </row>
    <row r="545">
      <c r="O545" s="36"/>
    </row>
    <row r="546">
      <c r="O546" s="36"/>
    </row>
    <row r="547">
      <c r="O547" s="36"/>
    </row>
    <row r="548">
      <c r="O548" s="36"/>
    </row>
    <row r="549">
      <c r="O549" s="36"/>
    </row>
    <row r="550">
      <c r="O550" s="36"/>
    </row>
    <row r="551">
      <c r="O551" s="36"/>
    </row>
    <row r="552">
      <c r="O552" s="36"/>
    </row>
    <row r="553">
      <c r="O553" s="36"/>
    </row>
    <row r="554">
      <c r="O554" s="36"/>
    </row>
    <row r="555">
      <c r="O555" s="36"/>
    </row>
    <row r="556">
      <c r="O556" s="36"/>
    </row>
    <row r="557">
      <c r="O557" s="36"/>
    </row>
    <row r="558">
      <c r="O558" s="36"/>
    </row>
    <row r="559">
      <c r="O559" s="36"/>
    </row>
    <row r="560">
      <c r="O560" s="36"/>
    </row>
    <row r="561">
      <c r="O561" s="36"/>
    </row>
    <row r="562">
      <c r="O562" s="36"/>
    </row>
    <row r="563">
      <c r="O563" s="36"/>
    </row>
    <row r="564">
      <c r="O564" s="36"/>
    </row>
    <row r="565">
      <c r="O565" s="36"/>
    </row>
    <row r="566">
      <c r="O566" s="36"/>
    </row>
    <row r="567">
      <c r="O567" s="36"/>
    </row>
    <row r="568">
      <c r="O568" s="36"/>
    </row>
    <row r="569">
      <c r="O569" s="36"/>
    </row>
    <row r="570">
      <c r="O570" s="36"/>
    </row>
    <row r="571">
      <c r="O571" s="36"/>
    </row>
    <row r="572">
      <c r="O572" s="36"/>
    </row>
    <row r="573">
      <c r="O573" s="36"/>
    </row>
    <row r="574">
      <c r="O574" s="36"/>
    </row>
    <row r="575">
      <c r="O575" s="36"/>
    </row>
    <row r="576">
      <c r="O576" s="36"/>
    </row>
    <row r="577">
      <c r="O577" s="36"/>
    </row>
    <row r="578">
      <c r="O578" s="36"/>
    </row>
    <row r="579">
      <c r="O579" s="36"/>
    </row>
    <row r="580">
      <c r="O580" s="36"/>
    </row>
    <row r="581">
      <c r="O581" s="36"/>
    </row>
    <row r="582">
      <c r="O582" s="36"/>
    </row>
    <row r="583">
      <c r="O583" s="36"/>
    </row>
    <row r="584">
      <c r="O584" s="36"/>
    </row>
    <row r="585">
      <c r="O585" s="36"/>
    </row>
    <row r="586">
      <c r="O586" s="36"/>
    </row>
    <row r="587">
      <c r="O587" s="36"/>
    </row>
    <row r="588">
      <c r="O588" s="36"/>
    </row>
    <row r="589">
      <c r="O589" s="36"/>
    </row>
    <row r="590">
      <c r="O590" s="36"/>
    </row>
    <row r="591">
      <c r="O591" s="36"/>
    </row>
    <row r="592">
      <c r="O592" s="36"/>
    </row>
    <row r="593">
      <c r="O593" s="36"/>
    </row>
    <row r="594">
      <c r="O594" s="36"/>
    </row>
    <row r="595">
      <c r="O595" s="36"/>
    </row>
    <row r="596">
      <c r="O596" s="36"/>
    </row>
    <row r="597">
      <c r="O597" s="36"/>
    </row>
    <row r="598">
      <c r="O598" s="36"/>
    </row>
    <row r="599">
      <c r="O599" s="36"/>
    </row>
    <row r="600">
      <c r="O600" s="36"/>
    </row>
    <row r="601">
      <c r="O601" s="36"/>
    </row>
    <row r="602">
      <c r="O602" s="36"/>
    </row>
    <row r="603">
      <c r="O603" s="36"/>
    </row>
    <row r="604">
      <c r="O604" s="36"/>
    </row>
    <row r="605">
      <c r="O605" s="36"/>
    </row>
    <row r="606">
      <c r="O606" s="36"/>
    </row>
    <row r="607">
      <c r="O607" s="36"/>
    </row>
    <row r="608">
      <c r="O608" s="36"/>
    </row>
    <row r="609">
      <c r="O609" s="36"/>
    </row>
    <row r="610">
      <c r="O610" s="36"/>
    </row>
    <row r="611">
      <c r="O611" s="36"/>
    </row>
    <row r="612">
      <c r="O612" s="36"/>
    </row>
    <row r="613">
      <c r="O613" s="36"/>
    </row>
    <row r="614">
      <c r="O614" s="36"/>
    </row>
    <row r="615">
      <c r="O615" s="36"/>
    </row>
    <row r="616">
      <c r="O616" s="36"/>
    </row>
    <row r="617">
      <c r="O617" s="36"/>
    </row>
    <row r="618">
      <c r="O618" s="36"/>
    </row>
    <row r="619">
      <c r="O619" s="36"/>
    </row>
    <row r="620">
      <c r="O620" s="36"/>
    </row>
    <row r="621">
      <c r="O621" s="36"/>
    </row>
    <row r="622">
      <c r="O622" s="36"/>
    </row>
    <row r="623">
      <c r="O623" s="36"/>
    </row>
    <row r="624">
      <c r="O624" s="36"/>
    </row>
    <row r="625">
      <c r="O625" s="36"/>
    </row>
    <row r="626">
      <c r="O626" s="36"/>
    </row>
    <row r="627">
      <c r="O627" s="36"/>
    </row>
    <row r="628">
      <c r="O628" s="36"/>
    </row>
    <row r="629">
      <c r="O629" s="36"/>
    </row>
    <row r="630">
      <c r="O630" s="36"/>
    </row>
    <row r="631">
      <c r="O631" s="36"/>
    </row>
    <row r="632">
      <c r="O632" s="36"/>
    </row>
    <row r="633">
      <c r="O633" s="36"/>
    </row>
    <row r="634">
      <c r="O634" s="36"/>
    </row>
    <row r="635">
      <c r="O635" s="36"/>
    </row>
    <row r="636">
      <c r="O636" s="36"/>
    </row>
    <row r="637">
      <c r="O637" s="36"/>
    </row>
    <row r="638">
      <c r="O638" s="36"/>
    </row>
    <row r="639">
      <c r="O639" s="36"/>
    </row>
    <row r="640">
      <c r="O640" s="36"/>
    </row>
    <row r="641">
      <c r="O641" s="36"/>
    </row>
    <row r="642">
      <c r="O642" s="36"/>
    </row>
    <row r="643">
      <c r="O643" s="36"/>
    </row>
    <row r="644">
      <c r="O644" s="36"/>
    </row>
    <row r="645">
      <c r="O645" s="36"/>
    </row>
    <row r="646">
      <c r="O646" s="36"/>
    </row>
    <row r="647">
      <c r="O647" s="36"/>
    </row>
    <row r="648">
      <c r="O648" s="36"/>
    </row>
    <row r="649">
      <c r="O649" s="36"/>
    </row>
    <row r="650">
      <c r="O650" s="36"/>
    </row>
    <row r="651">
      <c r="O651" s="36"/>
    </row>
    <row r="652">
      <c r="O652" s="36"/>
    </row>
    <row r="653">
      <c r="O653" s="36"/>
    </row>
    <row r="654">
      <c r="O654" s="36"/>
    </row>
    <row r="655">
      <c r="O655" s="36"/>
    </row>
    <row r="656">
      <c r="O656" s="36"/>
    </row>
    <row r="657">
      <c r="O657" s="36"/>
    </row>
    <row r="658">
      <c r="O658" s="36"/>
    </row>
    <row r="659">
      <c r="O659" s="36"/>
    </row>
    <row r="660">
      <c r="O660" s="36"/>
    </row>
    <row r="661">
      <c r="O661" s="36"/>
    </row>
    <row r="662">
      <c r="O662" s="36"/>
    </row>
    <row r="663">
      <c r="O663" s="36"/>
    </row>
    <row r="664">
      <c r="O664" s="36"/>
    </row>
    <row r="665">
      <c r="O665" s="36"/>
    </row>
    <row r="666">
      <c r="O666" s="36"/>
    </row>
    <row r="667">
      <c r="O667" s="36"/>
    </row>
    <row r="668">
      <c r="O668" s="36"/>
    </row>
    <row r="669">
      <c r="O669" s="36"/>
    </row>
    <row r="670">
      <c r="O670" s="36"/>
    </row>
    <row r="671">
      <c r="O671" s="36"/>
    </row>
    <row r="672">
      <c r="O672" s="36"/>
    </row>
    <row r="673">
      <c r="O673" s="36"/>
    </row>
    <row r="674">
      <c r="O674" s="36"/>
    </row>
    <row r="675">
      <c r="O675" s="36"/>
    </row>
    <row r="676">
      <c r="O676" s="36"/>
    </row>
    <row r="677">
      <c r="O677" s="36"/>
    </row>
    <row r="678">
      <c r="O678" s="36"/>
    </row>
    <row r="679">
      <c r="O679" s="36"/>
    </row>
    <row r="680">
      <c r="O680" s="36"/>
    </row>
    <row r="681">
      <c r="O681" s="36"/>
    </row>
    <row r="682">
      <c r="O682" s="36"/>
    </row>
    <row r="683">
      <c r="O683" s="36"/>
    </row>
    <row r="684">
      <c r="O684" s="36"/>
    </row>
    <row r="685">
      <c r="O685" s="36"/>
    </row>
    <row r="686">
      <c r="O686" s="36"/>
    </row>
    <row r="687">
      <c r="O687" s="36"/>
    </row>
    <row r="688">
      <c r="O688" s="36"/>
    </row>
    <row r="689">
      <c r="O689" s="36"/>
    </row>
    <row r="690">
      <c r="O690" s="36"/>
    </row>
    <row r="691">
      <c r="O691" s="36"/>
    </row>
    <row r="692">
      <c r="O692" s="36"/>
    </row>
    <row r="693">
      <c r="O693" s="36"/>
    </row>
    <row r="694">
      <c r="O694" s="36"/>
    </row>
    <row r="695">
      <c r="O695" s="36"/>
    </row>
    <row r="696">
      <c r="O696" s="36"/>
    </row>
    <row r="697">
      <c r="O697" s="36"/>
    </row>
    <row r="698">
      <c r="O698" s="36"/>
    </row>
    <row r="699">
      <c r="O699" s="36"/>
    </row>
    <row r="700">
      <c r="O700" s="36"/>
    </row>
    <row r="701">
      <c r="O701" s="36"/>
    </row>
    <row r="702">
      <c r="O702" s="36"/>
    </row>
    <row r="703">
      <c r="O703" s="36"/>
    </row>
    <row r="704">
      <c r="O704" s="36"/>
    </row>
    <row r="705">
      <c r="O705" s="36"/>
    </row>
    <row r="706">
      <c r="O706" s="36"/>
    </row>
    <row r="707">
      <c r="O707" s="36"/>
    </row>
    <row r="708">
      <c r="O708" s="36"/>
    </row>
    <row r="709">
      <c r="O709" s="36"/>
    </row>
    <row r="710">
      <c r="O710" s="36"/>
    </row>
    <row r="711">
      <c r="O711" s="36"/>
    </row>
    <row r="712">
      <c r="O712" s="36"/>
    </row>
    <row r="713">
      <c r="O713" s="36"/>
    </row>
    <row r="714">
      <c r="O714" s="36"/>
    </row>
    <row r="715">
      <c r="O715" s="36"/>
    </row>
    <row r="716">
      <c r="O716" s="36"/>
    </row>
    <row r="717">
      <c r="O717" s="36"/>
    </row>
    <row r="718">
      <c r="O718" s="36"/>
    </row>
    <row r="719">
      <c r="O719" s="36"/>
    </row>
    <row r="720">
      <c r="O720" s="36"/>
    </row>
    <row r="721">
      <c r="O721" s="36"/>
    </row>
    <row r="722">
      <c r="O722" s="36"/>
    </row>
    <row r="723">
      <c r="O723" s="36"/>
    </row>
    <row r="724">
      <c r="O724" s="36"/>
    </row>
    <row r="725">
      <c r="O725" s="36"/>
    </row>
    <row r="726">
      <c r="O726" s="36"/>
    </row>
    <row r="727">
      <c r="O727" s="36"/>
    </row>
    <row r="728">
      <c r="O728" s="36"/>
    </row>
    <row r="729">
      <c r="O729" s="36"/>
    </row>
    <row r="730">
      <c r="O730" s="36"/>
    </row>
    <row r="731">
      <c r="O731" s="36"/>
    </row>
    <row r="732">
      <c r="O732" s="36"/>
    </row>
    <row r="733">
      <c r="O733" s="36"/>
    </row>
    <row r="734">
      <c r="O734" s="36"/>
    </row>
    <row r="735">
      <c r="O735" s="36"/>
    </row>
    <row r="736">
      <c r="O736" s="36"/>
    </row>
    <row r="737">
      <c r="O737" s="36"/>
    </row>
    <row r="738">
      <c r="O738" s="36"/>
    </row>
    <row r="739">
      <c r="O739" s="36"/>
    </row>
    <row r="740">
      <c r="O740" s="36"/>
    </row>
    <row r="741">
      <c r="O741" s="36"/>
    </row>
    <row r="742">
      <c r="O742" s="36"/>
    </row>
    <row r="743">
      <c r="O743" s="36"/>
    </row>
    <row r="744">
      <c r="O744" s="36"/>
    </row>
    <row r="745">
      <c r="O745" s="36"/>
    </row>
    <row r="746">
      <c r="O746" s="36"/>
    </row>
    <row r="747">
      <c r="O747" s="36"/>
    </row>
    <row r="748">
      <c r="O748" s="36"/>
    </row>
    <row r="749">
      <c r="O749" s="36"/>
    </row>
    <row r="750">
      <c r="O750" s="36"/>
    </row>
    <row r="751">
      <c r="O751" s="36"/>
    </row>
    <row r="752">
      <c r="O752" s="36"/>
    </row>
    <row r="753">
      <c r="O753" s="36"/>
    </row>
    <row r="754">
      <c r="O754" s="36"/>
    </row>
    <row r="755">
      <c r="O755" s="36"/>
    </row>
    <row r="756">
      <c r="O756" s="36"/>
    </row>
    <row r="757">
      <c r="O757" s="36"/>
    </row>
    <row r="758">
      <c r="O758" s="36"/>
    </row>
    <row r="759">
      <c r="O759" s="36"/>
    </row>
    <row r="760">
      <c r="O760" s="36"/>
    </row>
    <row r="761">
      <c r="O761" s="36"/>
    </row>
    <row r="762">
      <c r="O762" s="36"/>
    </row>
    <row r="763">
      <c r="O763" s="36"/>
    </row>
    <row r="764">
      <c r="O764" s="36"/>
    </row>
    <row r="765">
      <c r="O765" s="36"/>
    </row>
    <row r="766">
      <c r="O766" s="36"/>
    </row>
    <row r="767">
      <c r="O767" s="36"/>
    </row>
    <row r="768">
      <c r="O768" s="36"/>
    </row>
    <row r="769">
      <c r="O769" s="36"/>
    </row>
    <row r="770">
      <c r="O770" s="36"/>
    </row>
    <row r="771">
      <c r="O771" s="36"/>
    </row>
    <row r="772">
      <c r="O772" s="36"/>
    </row>
    <row r="773">
      <c r="O773" s="36"/>
    </row>
    <row r="774">
      <c r="O774" s="36"/>
    </row>
    <row r="775">
      <c r="O775" s="36"/>
    </row>
    <row r="776">
      <c r="O776" s="36"/>
    </row>
    <row r="777">
      <c r="O777" s="36"/>
    </row>
    <row r="778">
      <c r="O778" s="36"/>
    </row>
    <row r="779">
      <c r="O779" s="36"/>
    </row>
    <row r="780">
      <c r="O780" s="36"/>
    </row>
    <row r="781">
      <c r="O781" s="36"/>
    </row>
    <row r="782">
      <c r="O782" s="36"/>
    </row>
    <row r="783">
      <c r="O783" s="36"/>
    </row>
    <row r="784">
      <c r="O784" s="36"/>
    </row>
    <row r="785">
      <c r="O785" s="36"/>
    </row>
    <row r="786">
      <c r="O786" s="36"/>
    </row>
    <row r="787">
      <c r="O787" s="36"/>
    </row>
    <row r="788">
      <c r="O788" s="36"/>
    </row>
    <row r="789">
      <c r="O789" s="36"/>
    </row>
    <row r="790">
      <c r="O790" s="36"/>
    </row>
    <row r="791">
      <c r="O791" s="36"/>
    </row>
    <row r="792">
      <c r="O792" s="36"/>
    </row>
    <row r="793">
      <c r="O793" s="36"/>
    </row>
    <row r="794">
      <c r="O794" s="36"/>
    </row>
    <row r="795">
      <c r="O795" s="36"/>
    </row>
    <row r="796">
      <c r="O796" s="36"/>
    </row>
    <row r="797">
      <c r="O797" s="36"/>
    </row>
    <row r="798">
      <c r="O798" s="36"/>
    </row>
    <row r="799">
      <c r="O799" s="36"/>
    </row>
    <row r="800">
      <c r="O800" s="36"/>
    </row>
    <row r="801">
      <c r="O801" s="36"/>
    </row>
    <row r="802">
      <c r="O802" s="36"/>
    </row>
    <row r="803">
      <c r="O803" s="36"/>
    </row>
    <row r="804">
      <c r="O804" s="36"/>
    </row>
    <row r="805">
      <c r="O805" s="36"/>
    </row>
    <row r="806">
      <c r="O806" s="36"/>
    </row>
    <row r="807">
      <c r="O807" s="36"/>
    </row>
    <row r="808">
      <c r="O808" s="36"/>
    </row>
    <row r="809">
      <c r="O809" s="36"/>
    </row>
    <row r="810">
      <c r="O810" s="36"/>
    </row>
    <row r="811">
      <c r="O811" s="36"/>
    </row>
    <row r="812">
      <c r="O812" s="36"/>
    </row>
    <row r="813">
      <c r="O813" s="36"/>
    </row>
    <row r="814">
      <c r="O814" s="36"/>
    </row>
    <row r="815">
      <c r="O815" s="36"/>
    </row>
    <row r="816">
      <c r="O816" s="36"/>
    </row>
    <row r="817">
      <c r="O817" s="36"/>
    </row>
    <row r="818">
      <c r="O818" s="36"/>
    </row>
    <row r="819">
      <c r="O819" s="36"/>
    </row>
    <row r="820">
      <c r="O820" s="36"/>
    </row>
    <row r="821">
      <c r="O821" s="36"/>
    </row>
    <row r="822">
      <c r="O822" s="36"/>
    </row>
    <row r="823">
      <c r="O823" s="36"/>
    </row>
    <row r="824">
      <c r="O824" s="36"/>
    </row>
    <row r="825">
      <c r="O825" s="36"/>
    </row>
    <row r="826">
      <c r="O826" s="36"/>
    </row>
    <row r="827">
      <c r="O827" s="36"/>
    </row>
    <row r="828">
      <c r="O828" s="36"/>
    </row>
    <row r="829">
      <c r="O829" s="36"/>
    </row>
    <row r="830">
      <c r="O830" s="36"/>
    </row>
    <row r="831">
      <c r="O831" s="36"/>
    </row>
    <row r="832">
      <c r="O832" s="36"/>
    </row>
    <row r="833">
      <c r="O833" s="36"/>
    </row>
    <row r="834">
      <c r="O834" s="36"/>
    </row>
    <row r="835">
      <c r="O835" s="36"/>
    </row>
    <row r="836">
      <c r="O836" s="36"/>
    </row>
    <row r="837">
      <c r="O837" s="36"/>
    </row>
    <row r="838">
      <c r="O838" s="36"/>
    </row>
    <row r="839">
      <c r="O839" s="36"/>
    </row>
    <row r="840">
      <c r="O840" s="36"/>
    </row>
    <row r="841">
      <c r="O841" s="36"/>
    </row>
    <row r="842">
      <c r="O842" s="36"/>
    </row>
    <row r="843">
      <c r="O843" s="36"/>
    </row>
    <row r="844">
      <c r="O844" s="36"/>
    </row>
    <row r="845">
      <c r="O845" s="36"/>
    </row>
    <row r="846">
      <c r="O846" s="36"/>
    </row>
    <row r="847">
      <c r="O847" s="36"/>
    </row>
    <row r="848">
      <c r="O848" s="36"/>
    </row>
    <row r="849">
      <c r="O849" s="36"/>
    </row>
    <row r="850">
      <c r="O850" s="36"/>
    </row>
    <row r="851">
      <c r="O851" s="36"/>
    </row>
    <row r="852">
      <c r="O852" s="36"/>
    </row>
    <row r="853">
      <c r="O853" s="36"/>
    </row>
    <row r="854">
      <c r="O854" s="36"/>
    </row>
    <row r="855">
      <c r="O855" s="36"/>
    </row>
    <row r="856">
      <c r="O856" s="36"/>
    </row>
    <row r="857">
      <c r="O857" s="36"/>
    </row>
    <row r="858">
      <c r="O858" s="36"/>
    </row>
    <row r="859">
      <c r="O859" s="36"/>
    </row>
    <row r="860">
      <c r="O860" s="36"/>
    </row>
    <row r="861">
      <c r="O861" s="36"/>
    </row>
    <row r="862">
      <c r="O862" s="36"/>
    </row>
    <row r="863">
      <c r="O863" s="36"/>
    </row>
    <row r="864">
      <c r="O864" s="36"/>
    </row>
    <row r="865">
      <c r="O865" s="36"/>
    </row>
    <row r="866">
      <c r="O866" s="36"/>
    </row>
    <row r="867">
      <c r="O867" s="36"/>
    </row>
    <row r="868">
      <c r="O868" s="36"/>
    </row>
    <row r="869">
      <c r="O869" s="36"/>
    </row>
    <row r="870">
      <c r="O870" s="36"/>
    </row>
    <row r="871">
      <c r="O871" s="36"/>
    </row>
    <row r="872">
      <c r="O872" s="36"/>
    </row>
    <row r="873">
      <c r="O873" s="36"/>
    </row>
    <row r="874">
      <c r="O874" s="36"/>
    </row>
    <row r="875">
      <c r="O875" s="36"/>
    </row>
    <row r="876">
      <c r="O876" s="36"/>
    </row>
    <row r="877">
      <c r="O877" s="36"/>
    </row>
    <row r="878">
      <c r="O878" s="36"/>
    </row>
    <row r="879">
      <c r="O879" s="36"/>
    </row>
    <row r="880">
      <c r="O880" s="36"/>
    </row>
    <row r="881">
      <c r="O881" s="36"/>
    </row>
    <row r="882">
      <c r="O882" s="36"/>
    </row>
    <row r="883">
      <c r="O883" s="36"/>
    </row>
    <row r="884">
      <c r="O884" s="36"/>
    </row>
    <row r="885">
      <c r="O885" s="36"/>
    </row>
    <row r="886">
      <c r="O886" s="36"/>
    </row>
    <row r="887">
      <c r="O887" s="36"/>
    </row>
    <row r="888">
      <c r="O888" s="36"/>
    </row>
    <row r="889">
      <c r="O889" s="36"/>
    </row>
    <row r="890">
      <c r="O890" s="36"/>
    </row>
    <row r="891">
      <c r="O891" s="36"/>
    </row>
    <row r="892">
      <c r="O892" s="36"/>
    </row>
    <row r="893">
      <c r="O893" s="36"/>
    </row>
    <row r="894">
      <c r="O894" s="36"/>
    </row>
    <row r="895">
      <c r="O895" s="36"/>
    </row>
    <row r="896">
      <c r="O896" s="36"/>
    </row>
    <row r="897">
      <c r="O897" s="36"/>
    </row>
    <row r="898">
      <c r="O898" s="36"/>
    </row>
    <row r="899">
      <c r="O899" s="36"/>
    </row>
    <row r="900">
      <c r="O900" s="36"/>
    </row>
    <row r="901">
      <c r="O901" s="36"/>
    </row>
    <row r="902">
      <c r="O902" s="36"/>
    </row>
    <row r="903">
      <c r="O903" s="36"/>
    </row>
    <row r="904">
      <c r="O904" s="36"/>
    </row>
    <row r="905">
      <c r="O905" s="36"/>
    </row>
    <row r="906">
      <c r="O906" s="36"/>
    </row>
    <row r="907">
      <c r="O907" s="36"/>
    </row>
    <row r="908">
      <c r="O908" s="36"/>
    </row>
    <row r="909">
      <c r="O909" s="36"/>
    </row>
    <row r="910">
      <c r="O910" s="36"/>
    </row>
    <row r="911">
      <c r="O911" s="36"/>
    </row>
    <row r="912">
      <c r="O912" s="36"/>
    </row>
    <row r="913">
      <c r="O913" s="36"/>
    </row>
    <row r="914">
      <c r="O914" s="36"/>
    </row>
    <row r="915">
      <c r="O915" s="36"/>
    </row>
    <row r="916">
      <c r="O916" s="36"/>
    </row>
    <row r="917">
      <c r="O917" s="36"/>
    </row>
    <row r="918">
      <c r="O918" s="36"/>
    </row>
    <row r="919">
      <c r="O919" s="36"/>
    </row>
    <row r="920">
      <c r="O920" s="36"/>
    </row>
    <row r="921">
      <c r="O921" s="36"/>
    </row>
    <row r="922">
      <c r="O922" s="36"/>
    </row>
    <row r="923">
      <c r="O923" s="36"/>
    </row>
    <row r="924">
      <c r="O924" s="36"/>
    </row>
    <row r="925">
      <c r="O925" s="36"/>
    </row>
    <row r="926">
      <c r="O926" s="36"/>
    </row>
    <row r="927">
      <c r="O927" s="36"/>
    </row>
    <row r="928">
      <c r="O928" s="36"/>
    </row>
    <row r="929">
      <c r="O929" s="36"/>
    </row>
    <row r="930">
      <c r="O930" s="36"/>
    </row>
    <row r="931">
      <c r="O931" s="36"/>
    </row>
    <row r="932">
      <c r="O932" s="36"/>
    </row>
    <row r="933">
      <c r="O933" s="36"/>
    </row>
    <row r="934">
      <c r="O934" s="36"/>
    </row>
    <row r="935">
      <c r="O935" s="36"/>
    </row>
    <row r="936">
      <c r="O936" s="36"/>
    </row>
    <row r="937">
      <c r="O937" s="36"/>
    </row>
    <row r="938">
      <c r="O938" s="36"/>
    </row>
    <row r="939">
      <c r="O939" s="36"/>
    </row>
    <row r="940">
      <c r="O940" s="36"/>
    </row>
    <row r="941">
      <c r="O941" s="36"/>
    </row>
    <row r="942">
      <c r="O942" s="36"/>
    </row>
    <row r="943">
      <c r="O943" s="36"/>
    </row>
    <row r="944">
      <c r="O944" s="36"/>
    </row>
    <row r="945">
      <c r="O945" s="36"/>
    </row>
    <row r="946">
      <c r="O946" s="36"/>
    </row>
    <row r="947">
      <c r="O947" s="36"/>
    </row>
    <row r="948">
      <c r="O948" s="36"/>
    </row>
    <row r="949">
      <c r="O949" s="36"/>
    </row>
    <row r="950">
      <c r="O950" s="36"/>
    </row>
    <row r="951">
      <c r="O951" s="36"/>
    </row>
    <row r="952">
      <c r="O952" s="36"/>
    </row>
    <row r="953">
      <c r="O953" s="36"/>
    </row>
    <row r="954">
      <c r="O954" s="36"/>
    </row>
    <row r="955">
      <c r="O955" s="36"/>
    </row>
    <row r="956">
      <c r="O956" s="36"/>
    </row>
    <row r="957">
      <c r="O957" s="36"/>
    </row>
    <row r="958">
      <c r="O958" s="36"/>
    </row>
    <row r="959">
      <c r="O959" s="36"/>
    </row>
    <row r="960">
      <c r="O960" s="36"/>
    </row>
    <row r="961">
      <c r="O961" s="36"/>
    </row>
    <row r="962">
      <c r="O962" s="36"/>
    </row>
    <row r="963">
      <c r="O963" s="36"/>
    </row>
    <row r="964">
      <c r="O964" s="36"/>
    </row>
    <row r="965">
      <c r="O965" s="36"/>
    </row>
    <row r="966">
      <c r="O966" s="36"/>
    </row>
    <row r="967">
      <c r="O967" s="36"/>
    </row>
    <row r="968">
      <c r="O968" s="36"/>
    </row>
    <row r="969">
      <c r="O969" s="36"/>
    </row>
    <row r="970">
      <c r="O970" s="36"/>
    </row>
    <row r="971">
      <c r="O971" s="36"/>
    </row>
    <row r="972">
      <c r="O972" s="36"/>
    </row>
    <row r="973">
      <c r="O973" s="36"/>
    </row>
    <row r="974">
      <c r="O974" s="36"/>
    </row>
    <row r="975">
      <c r="O975" s="36"/>
    </row>
    <row r="976">
      <c r="O976" s="36"/>
    </row>
    <row r="977">
      <c r="O977" s="36"/>
    </row>
    <row r="978">
      <c r="O978" s="36"/>
    </row>
    <row r="979">
      <c r="O979" s="36"/>
    </row>
    <row r="980">
      <c r="O980" s="36"/>
    </row>
    <row r="981">
      <c r="O981" s="36"/>
    </row>
    <row r="982">
      <c r="O982" s="36"/>
    </row>
    <row r="983">
      <c r="O983" s="36"/>
    </row>
    <row r="984">
      <c r="O984" s="36"/>
    </row>
    <row r="985">
      <c r="O985" s="36"/>
    </row>
    <row r="986">
      <c r="O986" s="36"/>
    </row>
    <row r="987">
      <c r="O987" s="36"/>
    </row>
    <row r="988">
      <c r="O988" s="36"/>
    </row>
    <row r="989">
      <c r="O989" s="36"/>
    </row>
    <row r="990">
      <c r="O990" s="36"/>
    </row>
    <row r="991">
      <c r="O991" s="36"/>
    </row>
    <row r="992">
      <c r="O992" s="36"/>
    </row>
    <row r="993">
      <c r="O993" s="36"/>
    </row>
    <row r="994">
      <c r="O994" s="36"/>
    </row>
    <row r="995">
      <c r="O995" s="36"/>
    </row>
    <row r="996">
      <c r="O996" s="36"/>
    </row>
    <row r="997">
      <c r="O997" s="36"/>
    </row>
    <row r="998">
      <c r="O998" s="36"/>
    </row>
    <row r="999">
      <c r="O999" s="36"/>
    </row>
    <row r="1000">
      <c r="O1000" s="36"/>
    </row>
  </sheetData>
  <conditionalFormatting sqref="G2:G101 H2:H104 I2:K101 L2:L106 M2:N101">
    <cfRule type="cellIs" dxfId="1" priority="1" operator="equal">
      <formula>1</formula>
    </cfRule>
  </conditionalFormatting>
  <conditionalFormatting sqref="G2:G101 H2:H104 I2:K101 L2:L106 M2:N101">
    <cfRule type="cellIs" dxfId="4" priority="2" operator="equal">
      <formula>5</formula>
    </cfRule>
  </conditionalFormatting>
  <conditionalFormatting sqref="G2:G101 H2:H104 I2:K101 L2:L106 M2:N101">
    <cfRule type="cellIs" dxfId="0" priority="3" operator="equal">
      <formula>10</formula>
    </cfRule>
  </conditionalFormatting>
  <conditionalFormatting sqref="F11:K100 L11:L106">
    <cfRule type="colorScale" priority="4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conditionalFormatting sqref="N11:N100">
    <cfRule type="cellIs" dxfId="0" priority="5" operator="equal">
      <formula>1</formula>
    </cfRule>
  </conditionalFormatting>
  <conditionalFormatting sqref="N11:N100">
    <cfRule type="cellIs" dxfId="7" priority="6" operator="equal">
      <formula>2</formula>
    </cfRule>
  </conditionalFormatting>
  <conditionalFormatting sqref="N11:N100">
    <cfRule type="cellIs" dxfId="8" priority="7" operator="equal">
      <formula>3</formula>
    </cfRule>
  </conditionalFormatting>
  <conditionalFormatting sqref="P11:P100">
    <cfRule type="cellIs" dxfId="4" priority="8" operator="equal">
      <formula>"MONEY"</formula>
    </cfRule>
  </conditionalFormatting>
  <conditionalFormatting sqref="P11:P100">
    <cfRule type="cellIs" dxfId="9" priority="9" operator="equal">
      <formula>"TIME"</formula>
    </cfRule>
  </conditionalFormatting>
  <conditionalFormatting sqref="P11:P100">
    <cfRule type="cellIs" dxfId="1" priority="10" operator="equal">
      <formula>"DIFFICULTY"</formula>
    </cfRule>
  </conditionalFormatting>
  <conditionalFormatting sqref="P11:P100">
    <cfRule type="cellIs" dxfId="0" priority="11" operator="equal">
      <formula>"NONE"</formula>
    </cfRule>
  </conditionalFormatting>
  <dataValidations>
    <dataValidation type="list" allowBlank="1" showErrorMessage="1" sqref="B11:B100">
      <formula1>"Travel,University,Health/Fitness,Money,Career,Relationships/Social,Hobby,Personal,Business"</formula1>
    </dataValidation>
    <dataValidation type="list" allowBlank="1" showErrorMessage="1" sqref="C11:C100">
      <formula1>"NOW,THIS YEAR,1 YEAR,1-3 YEARS,3+ YEARS,SOMEDAY"</formula1>
    </dataValidation>
    <dataValidation type="list" allowBlank="1" showErrorMessage="1" sqref="O1:O1000">
      <formula1>"DO NOW,DREAM,START PLANNING,VERDICT,PARK,BUILD TOWARDS"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88"/>
    <col customWidth="1" min="4" max="4" width="27.38"/>
    <col customWidth="1" min="5" max="5" width="51.13"/>
  </cols>
  <sheetData>
    <row r="1">
      <c r="A1" s="3" t="s">
        <v>439</v>
      </c>
      <c r="D1" s="3" t="s">
        <v>441</v>
      </c>
    </row>
    <row r="2">
      <c r="A2" s="3" t="s">
        <v>443</v>
      </c>
      <c r="B2" s="3" t="s">
        <v>444</v>
      </c>
      <c r="D2" s="3" t="s">
        <v>445</v>
      </c>
      <c r="E2" s="3" t="s">
        <v>446</v>
      </c>
    </row>
    <row r="3">
      <c r="A3" s="3" t="s">
        <v>447</v>
      </c>
      <c r="D3" s="3" t="s">
        <v>449</v>
      </c>
      <c r="E3" s="3" t="s">
        <v>450</v>
      </c>
    </row>
    <row r="4">
      <c r="A4" s="3" t="s">
        <v>451</v>
      </c>
      <c r="D4" s="3" t="s">
        <v>452</v>
      </c>
    </row>
    <row r="5">
      <c r="A5" s="3" t="s">
        <v>453</v>
      </c>
      <c r="B5" s="3">
        <v>0.0</v>
      </c>
      <c r="D5" s="3" t="s">
        <v>454</v>
      </c>
    </row>
    <row r="6">
      <c r="A6" s="3" t="s">
        <v>456</v>
      </c>
      <c r="B6" s="3">
        <v>0.0</v>
      </c>
      <c r="D6" s="3" t="s">
        <v>457</v>
      </c>
    </row>
    <row r="7">
      <c r="A7" s="3" t="s">
        <v>458</v>
      </c>
      <c r="B7" s="3" t="s">
        <v>459</v>
      </c>
      <c r="D7" s="3" t="s">
        <v>460</v>
      </c>
    </row>
    <row r="8">
      <c r="D8" s="3" t="s">
        <v>461</v>
      </c>
    </row>
    <row r="9">
      <c r="D9" s="3" t="s">
        <v>463</v>
      </c>
    </row>
    <row r="10" ht="52.5" customHeight="1">
      <c r="A10" s="3" t="s">
        <v>464</v>
      </c>
      <c r="D10" s="3" t="s">
        <v>465</v>
      </c>
      <c r="E10" s="111" t="s">
        <v>466</v>
      </c>
    </row>
    <row r="11">
      <c r="A11" s="3" t="s">
        <v>468</v>
      </c>
      <c r="B11" s="3" t="s">
        <v>469</v>
      </c>
      <c r="C11" s="3" t="s">
        <v>471</v>
      </c>
    </row>
    <row r="12">
      <c r="A12" s="3" t="s">
        <v>473</v>
      </c>
    </row>
    <row r="13">
      <c r="A13" s="3" t="s">
        <v>474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5"/>
    <col customWidth="1" min="4" max="4" width="23.5"/>
  </cols>
  <sheetData>
    <row r="1">
      <c r="A1" s="3" t="s">
        <v>519</v>
      </c>
      <c r="B1" s="3" t="s">
        <v>238</v>
      </c>
      <c r="D1" s="3" t="s">
        <v>520</v>
      </c>
    </row>
    <row r="2">
      <c r="A2" s="3" t="s">
        <v>521</v>
      </c>
      <c r="B2" s="3" t="str">
        <f t="array" ref="B2">IF(B1="","",IFERROR(_xlfn.XLOOKUP(B1,TRAVEL_DATA!A:A,TRAVEL_DATA!B:B),"NO DATA"))</f>
        <v>Spain</v>
      </c>
      <c r="D2" s="3" t="s">
        <v>522</v>
      </c>
      <c r="E2" s="55">
        <v>500.0</v>
      </c>
    </row>
    <row r="3">
      <c r="A3" s="3" t="s">
        <v>523</v>
      </c>
      <c r="B3" s="112" t="s">
        <v>524</v>
      </c>
      <c r="D3" s="3" t="s">
        <v>525</v>
      </c>
      <c r="E3" s="55">
        <v>70.0</v>
      </c>
    </row>
    <row r="4">
      <c r="A4" s="3" t="s">
        <v>526</v>
      </c>
      <c r="B4" s="3" t="s">
        <v>527</v>
      </c>
      <c r="D4" s="3" t="s">
        <v>528</v>
      </c>
      <c r="E4" s="55">
        <v>50.0</v>
      </c>
    </row>
    <row r="5">
      <c r="A5" s="3" t="s">
        <v>529</v>
      </c>
      <c r="B5" s="36">
        <f t="array" ref="B5">IF(B1="","",IFERROR(_xlfn.XLOOKUP(B1,TRAVEL_DATA!A:A,TRAVEL_DATA!F:F),"NO DATA"))</f>
        <v>80</v>
      </c>
    </row>
    <row r="6">
      <c r="A6" s="3" t="s">
        <v>530</v>
      </c>
      <c r="B6" s="36">
        <f>IF(OR(B16="",B17=""),"",B16*B17)</f>
        <v>210</v>
      </c>
    </row>
    <row r="7">
      <c r="A7" s="3" t="s">
        <v>532</v>
      </c>
      <c r="B7" s="36">
        <f>IF(OR(B16="",B18=""),"",B16*B18)</f>
        <v>245</v>
      </c>
    </row>
    <row r="8">
      <c r="A8" s="3" t="s">
        <v>538</v>
      </c>
      <c r="B8" s="36">
        <f>IF(B1="","",SUM(B5:B7))</f>
        <v>535</v>
      </c>
    </row>
    <row r="9">
      <c r="A9" s="3" t="s">
        <v>501</v>
      </c>
      <c r="B9" s="3">
        <f t="array" ref="B9">IF(B1="","",IFERROR(_xlfn.XLOOKUP(B1,TRAVEL_DATA!A:A,TRAVEL_DATA!I:I),""))</f>
        <v>6</v>
      </c>
    </row>
    <row r="10">
      <c r="A10" s="3" t="s">
        <v>546</v>
      </c>
      <c r="B10" s="36">
        <f>IFERROR(__xludf.DUMMYFUNCTION("IF(OR(B3="""",B19=""""),"""",IF(REGEXMATCH(UPPER(B19),UPPER(B3)),10,4))"),4.0)</f>
        <v>4</v>
      </c>
    </row>
    <row r="11">
      <c r="A11" s="3" t="s">
        <v>547</v>
      </c>
      <c r="B11" s="36">
        <f>IF(B1="","",ROUND(MAX(1,MIN(10,(MAX(0,$E$2-$E$4)/MAX(1,B8))*10)),1))</f>
        <v>8.4</v>
      </c>
    </row>
    <row r="12">
      <c r="A12" s="3" t="s">
        <v>548</v>
      </c>
      <c r="B12" s="36">
        <f>IF(OR(B16="",B20=""),"",ROUND(MAX(1,10-ABS(B16-B20)/MAX(1,B20)*5),1))</f>
        <v>6.3</v>
      </c>
    </row>
    <row r="13">
      <c r="A13" s="3" t="s">
        <v>553</v>
      </c>
      <c r="B13" s="36">
        <f>IF(B1="","",ROUND(
(B9*0.4)+
(B10*0.2)+
(B11*0.2)+
(B12*0.2)
,2))</f>
        <v>6.14</v>
      </c>
    </row>
    <row r="14">
      <c r="A14" s="3" t="s">
        <v>509</v>
      </c>
      <c r="B14" s="36" t="str">
        <f>IF(B1="","",
IF(B11&lt;=3,"MONEY",
IF(B10&lt;=4,"SEASON",
IF(B12&lt;=4,"TRIP LENGTH",
"NONE"))))</f>
        <v>SEASON</v>
      </c>
    </row>
    <row r="15">
      <c r="A15" s="3" t="s">
        <v>510</v>
      </c>
    </row>
    <row r="16">
      <c r="A16" s="3" t="s">
        <v>564</v>
      </c>
      <c r="B16" s="36">
        <f>IF(B4="","",SWITCH(B4,
"WEEKEND",2,
"1 WEEK",7,
"2 WEEKS",14,
"1 MONTH",30,
"2 MONTHS",60,
"3 MONTHS",90,
"6 MONTHS",180,
""))</f>
        <v>7</v>
      </c>
    </row>
    <row r="17">
      <c r="A17" s="3" t="s">
        <v>573</v>
      </c>
      <c r="B17" s="36">
        <f t="array" ref="B17">IF(B1="","",IFERROR(_xlfn.XLOOKUP(B1,TRAVEL_DATA!A:A,TRAVEL_DATA!D:D),"NO DATA"))</f>
        <v>30</v>
      </c>
    </row>
    <row r="18">
      <c r="A18" s="3" t="s">
        <v>577</v>
      </c>
      <c r="B18" s="36">
        <f t="array" ref="B18">IF(B1="","",IFERROR(_xlfn.XLOOKUP(B1,TRAVEL_DATA!A:A,TRAVEL_DATA!E:E),"NO DATA"))</f>
        <v>35</v>
      </c>
    </row>
    <row r="19">
      <c r="A19" s="3" t="s">
        <v>582</v>
      </c>
      <c r="B19" s="36" t="str">
        <f t="array" ref="B19">IF(B1="","",IFERROR(_xlfn.XLOOKUP(B1,TRAVEL_DATA!A:A,TRAVEL_DATA!G:G),"NO DATA"))</f>
        <v>SPRING/SUMMER</v>
      </c>
    </row>
    <row r="20">
      <c r="A20" s="3" t="s">
        <v>588</v>
      </c>
      <c r="B20" s="36">
        <f t="array" ref="B20">IF(B1="","",IFERROR(_xlfn.XLOOKUP(B1,TRAVEL_DATA!A:A,TRAVEL_DATA!H:H),"NO DATA"))</f>
        <v>4</v>
      </c>
    </row>
    <row r="21">
      <c r="A21" s="3" t="s">
        <v>591</v>
      </c>
      <c r="B21" s="36" t="str">
        <f>IF(B20="","",
IF(B20&lt;=3,"WEEKEND",
IF(B20&lt;=7,"1 WEEK",
IF(B20&lt;=14,"2 WEEKS",
IF(B20&lt;=30,"1 MONTH",
IF(B20&lt;=60,"2 MONTHS",
IF(B20&lt;=90,"3 MONTHS","6 MONTHS")))))))</f>
        <v>1 WEEK</v>
      </c>
    </row>
    <row r="22">
      <c r="A22" s="3" t="s">
        <v>602</v>
      </c>
      <c r="B22" s="36">
        <f>IF(B8="","",IF(B8&lt;=MAX(0,E2-E4),0,IF(E3&lt;=0,"NO SAVINGS",ROUNDUP((B8-MAX(0,E2-E4))/E3,0))))</f>
        <v>2</v>
      </c>
    </row>
    <row r="24">
      <c r="A24" s="3" t="s">
        <v>613</v>
      </c>
    </row>
    <row r="26">
      <c r="A26" s="3" t="s">
        <v>614</v>
      </c>
      <c r="B26" s="36" t="str">
        <f>IFERROR(__xludf.DUMMYFUNCTION("IFERROR(
INDEX(TRAVEL_DATA!A2:A79,
MATCH(
MAX(FILTER(TRAVEL_DATA!I2:I79,REGEXMATCH(UPPER(TRAVEL_DATA!G2:G79),""SUMMER""))),
FILTER(TRAVEL_DATA!I2:I79,REGEXMATCH(UPPER(TRAVEL_DATA!G2:G79),""SUMMER"")),
0)
),
""NONE"")"),"Tokyo")</f>
        <v>Tokyo</v>
      </c>
    </row>
    <row r="27">
      <c r="A27" s="3" t="s">
        <v>620</v>
      </c>
      <c r="B27" s="36" t="str">
        <f>IFERROR(__xludf.DUMMYFUNCTION("IFERROR(
INDEX(TRAVEL_DATA!A2:A79,
MATCH(
MAX(FILTER(TRAVEL_DATA!I2:I79,REGEXMATCH(UPPER(TRAVEL_DATA!G2:G79),""WINTER""))),
FILTER(TRAVEL_DATA!I2:I79,REGEXMATCH(UPPER(TRAVEL_DATA!G2:G79),""WINTER"")),
0)
),
""NONE"")"),"Tokyo")</f>
        <v>Tokyo</v>
      </c>
    </row>
    <row r="28">
      <c r="A28" s="3" t="s">
        <v>625</v>
      </c>
      <c r="B28" s="36" t="str">
        <f t="array" ref="B28">IFERROR(INDEX(TRAVEL_DATA!A2:A79,MATCH(MAX(TRAVEL_DATA!I2:I79),TRAVEL_DATA!I2:I79,0)),"NONE")</f>
        <v>New York</v>
      </c>
    </row>
    <row r="29">
      <c r="A29" s="3" t="s">
        <v>629</v>
      </c>
      <c r="B29" s="36" t="str">
        <f>IFERROR(__xludf.DUMMYFUNCTION("IFERROR(
INDEX(
SORT(
FILTER({TRAVEL_DATA!A2:A79,TRAVEL_DATA!J2:J79},
ISNUMBER(TRAVEL_DATA!J2:J79)),
2,FALSE
),
1,1
),
""NONE"")"),"Budapest")</f>
        <v>Budapest</v>
      </c>
    </row>
    <row r="30">
      <c r="A30" s="3" t="s">
        <v>638</v>
      </c>
      <c r="B30" s="36" t="str">
        <f>IFERROR(__xludf.DUMMYFUNCTION("IFERROR(INDEX(TRAVEL_DATA!A2:A79,MATCH(MAX(FILTER(TRAVEL_DATA!I2:I79,TRAVEL_DATA!H2:H79&lt;=7)),FILTER(TRAVEL_DATA!I2:I79,TRAVEL_DATA!H2:H79&lt;=7),0)),""NONE"")"),"Berlin")</f>
        <v>Berlin</v>
      </c>
    </row>
    <row r="31">
      <c r="A31" s="3" t="s">
        <v>643</v>
      </c>
      <c r="B31" s="36" t="str">
        <f>IFERROR(__xludf.DUMMYFUNCTION("IFERROR(
INDEX(TRAVEL_DATA!A2:A79,
MATCH(
MAX(FILTER(TRAVEL_DATA!I2:I79,
(TRAVEL_DATA!F2:F79+(TRAVEL_DATA!D2:D79+TRAVEL_DATA!E2:E79)*TRAVEL_DATA!H2:H79)&lt;=($E$2+$E$3*12)
)),
FILTER(TRAVEL_DATA!I2:I79,
(TRAVEL_DATA!F2:F79+(TRAVEL_DATA!D2:D79+TRAVEL_DATA!E2:"&amp;"E79)*TRAVEL_DATA!H2:H79)&lt;=($E$2+$E$3*12)
),
0)
),
""NONE"")"),"Split")</f>
        <v>Split</v>
      </c>
    </row>
    <row r="32">
      <c r="A32" s="3" t="s">
        <v>648</v>
      </c>
      <c r="B32" s="36" t="str">
        <f t="array" ref="B32">IFERROR(
INDEX(TRAVEL_DATA!A2:A79,
MATCH(
MAX(TRAVEL_DATA!I2:I79*0.6+
(10-MIN(9,(TRAVEL_DATA!F2:F79+(TRAVEL_DATA!D2:D79+TRAVEL_DATA!E2:E79)*TRAVEL_DATA!H2:H79)/500))*0.4),
TRAVEL_DATA!I2:I79*0.6+
(10-MIN(9,(TRAVEL_DATA!F2:F79+(TRAVEL_DATA!D2:D79+TRAVEL_DATA!E2:E79)*TRAVEL_DATA!H2:H79)/500))*0.4,
0)
),
"NONE")</f>
        <v>New York</v>
      </c>
    </row>
  </sheetData>
  <dataValidations>
    <dataValidation type="list" allowBlank="1" showErrorMessage="1" sqref="B4">
      <formula1>"WEEKEND,1 WEEK,2 WEEKS,1 MONTH,2-3 MONTHS,6 MONTHS"</formula1>
    </dataValidation>
    <dataValidation type="list" allowBlank="1" showErrorMessage="1" sqref="B3">
      <formula1>"SUMMER,WINTER,SPRING,AUTUMN,ANY"</formula1>
    </dataValidation>
    <dataValidation type="list" allowBlank="1" showErrorMessage="1" sqref="B1">
      <formula1>TRAVEL_DATA!$A$2:$A$79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113" t="s">
        <v>531</v>
      </c>
      <c r="B1" s="113" t="s">
        <v>533</v>
      </c>
      <c r="C1" s="113" t="s">
        <v>534</v>
      </c>
      <c r="D1" s="114" t="s">
        <v>535</v>
      </c>
      <c r="E1" s="114" t="s">
        <v>536</v>
      </c>
      <c r="F1" s="114" t="s">
        <v>537</v>
      </c>
      <c r="G1" s="113" t="s">
        <v>539</v>
      </c>
      <c r="H1" s="114" t="s">
        <v>540</v>
      </c>
      <c r="I1" s="3" t="s">
        <v>501</v>
      </c>
      <c r="J1" s="3" t="s">
        <v>541</v>
      </c>
    </row>
    <row r="2">
      <c r="A2" s="3" t="s">
        <v>542</v>
      </c>
      <c r="B2" s="3" t="s">
        <v>543</v>
      </c>
      <c r="C2" s="3" t="s">
        <v>544</v>
      </c>
      <c r="D2" s="115">
        <v>45.0</v>
      </c>
      <c r="E2" s="115">
        <v>45.0</v>
      </c>
      <c r="F2" s="115">
        <v>900.0</v>
      </c>
      <c r="G2" s="3" t="s">
        <v>545</v>
      </c>
      <c r="H2" s="116">
        <v>14.0</v>
      </c>
      <c r="I2" s="3">
        <v>7.0</v>
      </c>
      <c r="J2" s="58">
        <f t="shared" ref="J2:J125" si="1">IF(A2="","",ROUND(I2/(F2+(D2+E2)*H2)*1000,2))</f>
        <v>3.24</v>
      </c>
    </row>
    <row r="3">
      <c r="A3" s="3" t="s">
        <v>549</v>
      </c>
      <c r="B3" s="3" t="s">
        <v>543</v>
      </c>
      <c r="C3" s="3" t="s">
        <v>544</v>
      </c>
      <c r="D3" s="115">
        <v>40.0</v>
      </c>
      <c r="E3" s="115">
        <v>45.0</v>
      </c>
      <c r="F3" s="115">
        <v>900.0</v>
      </c>
      <c r="G3" s="3" t="s">
        <v>545</v>
      </c>
      <c r="H3" s="116">
        <v>14.0</v>
      </c>
      <c r="I3" s="3">
        <v>7.0</v>
      </c>
      <c r="J3" s="58">
        <f t="shared" si="1"/>
        <v>3.35</v>
      </c>
    </row>
    <row r="4">
      <c r="A4" s="3" t="s">
        <v>550</v>
      </c>
      <c r="B4" s="3" t="s">
        <v>543</v>
      </c>
      <c r="C4" s="3" t="s">
        <v>544</v>
      </c>
      <c r="D4" s="115">
        <v>40.0</v>
      </c>
      <c r="E4" s="115">
        <v>50.0</v>
      </c>
      <c r="F4" s="115">
        <v>900.0</v>
      </c>
      <c r="G4" s="3" t="s">
        <v>545</v>
      </c>
      <c r="H4" s="116">
        <v>30.0</v>
      </c>
      <c r="I4" s="3">
        <v>8.0</v>
      </c>
      <c r="J4" s="58">
        <f t="shared" si="1"/>
        <v>2.22</v>
      </c>
    </row>
    <row r="5">
      <c r="A5" s="3" t="s">
        <v>551</v>
      </c>
      <c r="B5" s="3" t="s">
        <v>552</v>
      </c>
      <c r="C5" s="3" t="s">
        <v>544</v>
      </c>
      <c r="D5" s="115">
        <v>35.0</v>
      </c>
      <c r="E5" s="115">
        <v>40.0</v>
      </c>
      <c r="F5" s="115">
        <v>950.0</v>
      </c>
      <c r="G5" s="3" t="s">
        <v>545</v>
      </c>
      <c r="H5" s="116">
        <v>14.0</v>
      </c>
      <c r="I5" s="3">
        <v>6.0</v>
      </c>
      <c r="J5" s="58">
        <f t="shared" si="1"/>
        <v>3</v>
      </c>
    </row>
    <row r="6">
      <c r="A6" s="3" t="s">
        <v>554</v>
      </c>
      <c r="B6" s="3" t="s">
        <v>552</v>
      </c>
      <c r="C6" s="3" t="s">
        <v>544</v>
      </c>
      <c r="D6" s="115">
        <v>35.0</v>
      </c>
      <c r="E6" s="115">
        <v>45.0</v>
      </c>
      <c r="F6" s="115">
        <v>950.0</v>
      </c>
      <c r="G6" s="3" t="s">
        <v>545</v>
      </c>
      <c r="H6" s="116">
        <v>21.0</v>
      </c>
      <c r="I6" s="3">
        <v>5.0</v>
      </c>
      <c r="J6" s="58">
        <f t="shared" si="1"/>
        <v>1.9</v>
      </c>
    </row>
    <row r="7">
      <c r="A7" s="3" t="s">
        <v>555</v>
      </c>
      <c r="B7" s="3" t="s">
        <v>556</v>
      </c>
      <c r="C7" s="3" t="s">
        <v>557</v>
      </c>
      <c r="D7" s="115">
        <v>15.0</v>
      </c>
      <c r="E7" s="115">
        <v>20.0</v>
      </c>
      <c r="F7" s="115">
        <v>550.0</v>
      </c>
      <c r="G7" s="3" t="s">
        <v>545</v>
      </c>
      <c r="H7" s="116">
        <v>5.0</v>
      </c>
      <c r="I7" s="3">
        <v>8.0</v>
      </c>
      <c r="J7" s="58">
        <f t="shared" si="1"/>
        <v>11.03</v>
      </c>
    </row>
    <row r="8">
      <c r="A8" s="3" t="s">
        <v>558</v>
      </c>
      <c r="B8" s="3" t="s">
        <v>556</v>
      </c>
      <c r="C8" s="3" t="s">
        <v>557</v>
      </c>
      <c r="D8" s="115">
        <v>20.0</v>
      </c>
      <c r="E8" s="115">
        <v>25.0</v>
      </c>
      <c r="F8" s="115">
        <v>550.0</v>
      </c>
      <c r="G8" s="3" t="s">
        <v>545</v>
      </c>
      <c r="H8" s="116">
        <v>14.0</v>
      </c>
      <c r="I8" s="3">
        <v>9.0</v>
      </c>
      <c r="J8" s="58">
        <f t="shared" si="1"/>
        <v>7.63</v>
      </c>
    </row>
    <row r="9">
      <c r="A9" s="3" t="s">
        <v>559</v>
      </c>
      <c r="B9" s="3" t="s">
        <v>556</v>
      </c>
      <c r="C9" s="3" t="s">
        <v>557</v>
      </c>
      <c r="D9" s="115">
        <v>12.0</v>
      </c>
      <c r="E9" s="115">
        <v>18.0</v>
      </c>
      <c r="F9" s="115">
        <v>550.0</v>
      </c>
      <c r="G9" s="3" t="s">
        <v>545</v>
      </c>
      <c r="H9" s="116">
        <v>7.0</v>
      </c>
      <c r="I9" s="3">
        <v>6.0</v>
      </c>
      <c r="J9" s="58">
        <f t="shared" si="1"/>
        <v>7.89</v>
      </c>
    </row>
    <row r="10">
      <c r="A10" s="3" t="s">
        <v>560</v>
      </c>
      <c r="B10" s="3" t="s">
        <v>561</v>
      </c>
      <c r="C10" s="3" t="s">
        <v>557</v>
      </c>
      <c r="D10" s="115">
        <v>20.0</v>
      </c>
      <c r="E10" s="115">
        <v>25.0</v>
      </c>
      <c r="F10" s="115">
        <v>650.0</v>
      </c>
      <c r="G10" s="3" t="s">
        <v>562</v>
      </c>
      <c r="H10" s="116">
        <v>14.0</v>
      </c>
      <c r="I10" s="3">
        <v>7.0</v>
      </c>
      <c r="J10" s="58">
        <f t="shared" si="1"/>
        <v>5.47</v>
      </c>
    </row>
    <row r="11">
      <c r="A11" s="3" t="s">
        <v>563</v>
      </c>
      <c r="B11" s="3" t="s">
        <v>561</v>
      </c>
      <c r="C11" s="3" t="s">
        <v>557</v>
      </c>
      <c r="D11" s="115">
        <v>18.0</v>
      </c>
      <c r="E11" s="115">
        <v>22.0</v>
      </c>
      <c r="F11" s="115">
        <v>650.0</v>
      </c>
      <c r="G11" s="3" t="s">
        <v>562</v>
      </c>
      <c r="H11" s="116">
        <v>5.0</v>
      </c>
      <c r="I11" s="3">
        <v>5.0</v>
      </c>
      <c r="J11" s="58">
        <f t="shared" si="1"/>
        <v>5.88</v>
      </c>
    </row>
    <row r="12">
      <c r="A12" s="3" t="s">
        <v>565</v>
      </c>
      <c r="B12" s="3" t="s">
        <v>566</v>
      </c>
      <c r="C12" s="3" t="s">
        <v>557</v>
      </c>
      <c r="D12" s="115">
        <v>12.0</v>
      </c>
      <c r="E12" s="115">
        <v>18.0</v>
      </c>
      <c r="F12" s="115">
        <v>600.0</v>
      </c>
      <c r="G12" s="3" t="s">
        <v>567</v>
      </c>
      <c r="H12" s="116">
        <v>5.0</v>
      </c>
      <c r="I12" s="3">
        <v>6.0</v>
      </c>
      <c r="J12" s="58">
        <f t="shared" si="1"/>
        <v>8</v>
      </c>
    </row>
    <row r="13">
      <c r="A13" s="3" t="s">
        <v>568</v>
      </c>
      <c r="B13" s="3" t="s">
        <v>566</v>
      </c>
      <c r="C13" s="3" t="s">
        <v>557</v>
      </c>
      <c r="D13" s="115">
        <v>13.0</v>
      </c>
      <c r="E13" s="115">
        <v>20.0</v>
      </c>
      <c r="F13" s="115">
        <v>600.0</v>
      </c>
      <c r="G13" s="3" t="s">
        <v>545</v>
      </c>
      <c r="H13" s="116">
        <v>5.0</v>
      </c>
      <c r="I13" s="3">
        <v>5.0</v>
      </c>
      <c r="J13" s="58">
        <f t="shared" si="1"/>
        <v>6.54</v>
      </c>
    </row>
    <row r="14">
      <c r="A14" s="3" t="s">
        <v>569</v>
      </c>
      <c r="B14" s="3" t="s">
        <v>566</v>
      </c>
      <c r="C14" s="3" t="s">
        <v>557</v>
      </c>
      <c r="D14" s="115">
        <v>14.0</v>
      </c>
      <c r="E14" s="115">
        <v>20.0</v>
      </c>
      <c r="F14" s="115">
        <v>600.0</v>
      </c>
      <c r="G14" s="3" t="s">
        <v>570</v>
      </c>
      <c r="H14" s="116">
        <v>21.0</v>
      </c>
      <c r="I14" s="3">
        <v>5.0</v>
      </c>
      <c r="J14" s="58">
        <f t="shared" si="1"/>
        <v>3.81</v>
      </c>
    </row>
    <row r="15">
      <c r="A15" s="3" t="s">
        <v>571</v>
      </c>
      <c r="B15" s="3" t="s">
        <v>572</v>
      </c>
      <c r="C15" s="3" t="s">
        <v>557</v>
      </c>
      <c r="D15" s="115">
        <v>10.0</v>
      </c>
      <c r="E15" s="115">
        <v>18.0</v>
      </c>
      <c r="F15" s="115">
        <v>600.0</v>
      </c>
      <c r="G15" s="3" t="s">
        <v>545</v>
      </c>
      <c r="H15" s="116">
        <v>5.0</v>
      </c>
      <c r="I15" s="3">
        <v>4.0</v>
      </c>
      <c r="J15" s="58">
        <f t="shared" si="1"/>
        <v>5.41</v>
      </c>
    </row>
    <row r="16">
      <c r="A16" s="3" t="s">
        <v>574</v>
      </c>
      <c r="B16" s="3" t="s">
        <v>572</v>
      </c>
      <c r="C16" s="3" t="s">
        <v>557</v>
      </c>
      <c r="D16" s="115">
        <v>10.0</v>
      </c>
      <c r="E16" s="115">
        <v>18.0</v>
      </c>
      <c r="F16" s="115">
        <v>600.0</v>
      </c>
      <c r="G16" s="3" t="s">
        <v>545</v>
      </c>
      <c r="H16" s="116">
        <v>4.0</v>
      </c>
      <c r="I16" s="3">
        <v>7.0</v>
      </c>
      <c r="J16" s="58">
        <f t="shared" si="1"/>
        <v>9.83</v>
      </c>
    </row>
    <row r="17">
      <c r="A17" s="3" t="s">
        <v>575</v>
      </c>
      <c r="B17" s="3" t="s">
        <v>576</v>
      </c>
      <c r="C17" s="3" t="s">
        <v>557</v>
      </c>
      <c r="D17" s="115">
        <v>10.0</v>
      </c>
      <c r="E17" s="115">
        <v>17.0</v>
      </c>
      <c r="F17" s="115">
        <v>650.0</v>
      </c>
      <c r="G17" s="3" t="s">
        <v>545</v>
      </c>
      <c r="H17" s="116">
        <v>10.0</v>
      </c>
      <c r="I17" s="3">
        <v>6.0</v>
      </c>
      <c r="J17" s="58">
        <f t="shared" si="1"/>
        <v>6.52</v>
      </c>
    </row>
    <row r="18">
      <c r="A18" s="3" t="s">
        <v>578</v>
      </c>
      <c r="B18" s="3" t="s">
        <v>579</v>
      </c>
      <c r="C18" s="3" t="s">
        <v>557</v>
      </c>
      <c r="D18" s="115">
        <v>15.0</v>
      </c>
      <c r="E18" s="115">
        <v>22.0</v>
      </c>
      <c r="F18" s="115">
        <v>500.0</v>
      </c>
      <c r="G18" s="3" t="s">
        <v>580</v>
      </c>
      <c r="H18" s="116">
        <v>5.0</v>
      </c>
      <c r="I18" s="3">
        <v>7.0</v>
      </c>
      <c r="J18" s="58">
        <f t="shared" si="1"/>
        <v>10.22</v>
      </c>
    </row>
    <row r="19">
      <c r="A19" s="3" t="s">
        <v>581</v>
      </c>
      <c r="B19" s="3" t="s">
        <v>581</v>
      </c>
      <c r="C19" s="3" t="s">
        <v>557</v>
      </c>
      <c r="D19" s="115">
        <v>35.0</v>
      </c>
      <c r="E19" s="115">
        <v>35.0</v>
      </c>
      <c r="F19" s="115">
        <v>550.0</v>
      </c>
      <c r="G19" s="3" t="s">
        <v>580</v>
      </c>
      <c r="H19" s="116">
        <v>4.0</v>
      </c>
      <c r="I19" s="3">
        <v>7.0</v>
      </c>
      <c r="J19" s="58">
        <f t="shared" si="1"/>
        <v>8.43</v>
      </c>
    </row>
    <row r="20">
      <c r="A20" s="3" t="s">
        <v>583</v>
      </c>
      <c r="B20" s="3" t="s">
        <v>584</v>
      </c>
      <c r="C20" s="3" t="s">
        <v>557</v>
      </c>
      <c r="D20" s="115">
        <v>17.0</v>
      </c>
      <c r="E20" s="115">
        <v>23.0</v>
      </c>
      <c r="F20" s="115">
        <v>650.0</v>
      </c>
      <c r="G20" s="3" t="s">
        <v>545</v>
      </c>
      <c r="H20" s="116">
        <v>14.0</v>
      </c>
      <c r="I20" s="3">
        <v>3.0</v>
      </c>
      <c r="J20" s="58">
        <f t="shared" si="1"/>
        <v>2.48</v>
      </c>
    </row>
    <row r="21">
      <c r="A21" s="3" t="s">
        <v>585</v>
      </c>
      <c r="B21" s="3" t="s">
        <v>586</v>
      </c>
      <c r="C21" s="3" t="s">
        <v>587</v>
      </c>
      <c r="D21" s="115">
        <v>30.0</v>
      </c>
      <c r="E21" s="115">
        <v>35.0</v>
      </c>
      <c r="F21" s="115">
        <v>650.0</v>
      </c>
      <c r="G21" s="3" t="s">
        <v>567</v>
      </c>
      <c r="H21" s="116">
        <v>7.0</v>
      </c>
      <c r="I21" s="3">
        <v>8.0</v>
      </c>
      <c r="J21" s="58">
        <f t="shared" si="1"/>
        <v>7.24</v>
      </c>
    </row>
    <row r="22">
      <c r="A22" s="3" t="s">
        <v>589</v>
      </c>
      <c r="B22" s="3" t="s">
        <v>586</v>
      </c>
      <c r="C22" s="3" t="s">
        <v>587</v>
      </c>
      <c r="D22" s="115">
        <v>25.0</v>
      </c>
      <c r="E22" s="115">
        <v>32.0</v>
      </c>
      <c r="F22" s="115">
        <v>650.0</v>
      </c>
      <c r="G22" s="3" t="s">
        <v>567</v>
      </c>
      <c r="H22" s="116">
        <v>5.0</v>
      </c>
      <c r="I22" s="3">
        <v>6.0</v>
      </c>
      <c r="J22" s="58">
        <f t="shared" si="1"/>
        <v>6.42</v>
      </c>
    </row>
    <row r="23">
      <c r="A23" s="3" t="s">
        <v>590</v>
      </c>
      <c r="B23" s="3" t="s">
        <v>586</v>
      </c>
      <c r="C23" s="3" t="s">
        <v>587</v>
      </c>
      <c r="D23" s="115">
        <v>28.0</v>
      </c>
      <c r="E23" s="115">
        <v>38.0</v>
      </c>
      <c r="F23" s="115">
        <v>650.0</v>
      </c>
      <c r="G23" s="3" t="s">
        <v>567</v>
      </c>
      <c r="H23" s="116">
        <v>14.0</v>
      </c>
      <c r="I23" s="3">
        <v>7.0</v>
      </c>
      <c r="J23" s="58">
        <f t="shared" si="1"/>
        <v>4.45</v>
      </c>
    </row>
    <row r="24">
      <c r="A24" s="3" t="s">
        <v>592</v>
      </c>
      <c r="B24" s="3" t="s">
        <v>593</v>
      </c>
      <c r="C24" s="3" t="s">
        <v>587</v>
      </c>
      <c r="D24" s="115">
        <v>25.0</v>
      </c>
      <c r="E24" s="115">
        <v>30.0</v>
      </c>
      <c r="F24" s="115">
        <v>600.0</v>
      </c>
      <c r="G24" s="3" t="s">
        <v>567</v>
      </c>
      <c r="H24" s="116">
        <v>7.0</v>
      </c>
      <c r="I24" s="3">
        <v>5.0</v>
      </c>
      <c r="J24" s="58">
        <f t="shared" si="1"/>
        <v>5.08</v>
      </c>
    </row>
    <row r="25">
      <c r="A25" s="3" t="s">
        <v>594</v>
      </c>
      <c r="B25" s="3" t="s">
        <v>594</v>
      </c>
      <c r="C25" s="3" t="s">
        <v>587</v>
      </c>
      <c r="D25" s="115">
        <v>30.0</v>
      </c>
      <c r="E25" s="115">
        <v>35.0</v>
      </c>
      <c r="F25" s="115">
        <v>550.0</v>
      </c>
      <c r="G25" s="3" t="s">
        <v>595</v>
      </c>
      <c r="H25" s="116">
        <v>5.0</v>
      </c>
      <c r="I25" s="3">
        <v>4.0</v>
      </c>
      <c r="J25" s="58">
        <f t="shared" si="1"/>
        <v>4.57</v>
      </c>
    </row>
    <row r="26">
      <c r="A26" s="3" t="s">
        <v>596</v>
      </c>
      <c r="B26" s="3" t="s">
        <v>597</v>
      </c>
      <c r="C26" s="3" t="s">
        <v>587</v>
      </c>
      <c r="D26" s="115">
        <v>20.0</v>
      </c>
      <c r="E26" s="115">
        <v>25.0</v>
      </c>
      <c r="F26" s="115">
        <v>600.0</v>
      </c>
      <c r="G26" s="3" t="s">
        <v>595</v>
      </c>
      <c r="H26" s="116">
        <v>7.0</v>
      </c>
      <c r="I26" s="3">
        <v>5.0</v>
      </c>
      <c r="J26" s="58">
        <f t="shared" si="1"/>
        <v>5.46</v>
      </c>
    </row>
    <row r="27">
      <c r="A27" s="3" t="s">
        <v>598</v>
      </c>
      <c r="B27" s="3" t="s">
        <v>599</v>
      </c>
      <c r="C27" s="3" t="s">
        <v>600</v>
      </c>
      <c r="D27" s="115">
        <v>10.0</v>
      </c>
      <c r="E27" s="115">
        <v>15.0</v>
      </c>
      <c r="F27" s="115">
        <v>450.0</v>
      </c>
      <c r="G27" s="3" t="s">
        <v>545</v>
      </c>
      <c r="H27" s="116">
        <v>7.0</v>
      </c>
      <c r="I27" s="3">
        <v>2.0</v>
      </c>
      <c r="J27" s="58">
        <f t="shared" si="1"/>
        <v>3.2</v>
      </c>
    </row>
    <row r="28">
      <c r="A28" s="3" t="s">
        <v>601</v>
      </c>
      <c r="B28" s="3" t="s">
        <v>599</v>
      </c>
      <c r="C28" s="3" t="s">
        <v>600</v>
      </c>
      <c r="D28" s="115">
        <v>10.0</v>
      </c>
      <c r="E28" s="115">
        <v>18.0</v>
      </c>
      <c r="F28" s="115">
        <v>450.0</v>
      </c>
      <c r="G28" s="3" t="s">
        <v>545</v>
      </c>
      <c r="H28" s="116">
        <v>14.0</v>
      </c>
      <c r="I28" s="3">
        <v>4.0</v>
      </c>
      <c r="J28" s="58">
        <f t="shared" si="1"/>
        <v>4.75</v>
      </c>
    </row>
    <row r="29">
      <c r="A29" s="3" t="s">
        <v>603</v>
      </c>
      <c r="B29" s="3" t="s">
        <v>604</v>
      </c>
      <c r="C29" s="3" t="s">
        <v>600</v>
      </c>
      <c r="D29" s="115">
        <v>12.0</v>
      </c>
      <c r="E29" s="115">
        <v>20.0</v>
      </c>
      <c r="F29" s="115">
        <v>500.0</v>
      </c>
      <c r="G29" s="3" t="s">
        <v>545</v>
      </c>
      <c r="H29" s="116">
        <v>14.0</v>
      </c>
      <c r="I29" s="3">
        <v>3.0</v>
      </c>
      <c r="J29" s="58">
        <f t="shared" si="1"/>
        <v>3.16</v>
      </c>
    </row>
    <row r="30">
      <c r="A30" s="3" t="s">
        <v>605</v>
      </c>
      <c r="B30" s="3" t="s">
        <v>606</v>
      </c>
      <c r="C30" s="3" t="s">
        <v>600</v>
      </c>
      <c r="D30" s="115">
        <v>10.0</v>
      </c>
      <c r="E30" s="115">
        <v>15.0</v>
      </c>
      <c r="F30" s="115">
        <v>550.0</v>
      </c>
      <c r="G30" s="3" t="s">
        <v>567</v>
      </c>
      <c r="H30" s="116">
        <v>7.0</v>
      </c>
      <c r="I30" s="3">
        <v>1.0</v>
      </c>
      <c r="J30" s="58">
        <f t="shared" si="1"/>
        <v>1.38</v>
      </c>
    </row>
    <row r="31">
      <c r="A31" s="3" t="s">
        <v>607</v>
      </c>
      <c r="B31" s="3" t="s">
        <v>608</v>
      </c>
      <c r="C31" s="3" t="s">
        <v>609</v>
      </c>
      <c r="D31" s="115">
        <v>30.0</v>
      </c>
      <c r="E31" s="115">
        <v>45.0</v>
      </c>
      <c r="F31" s="115">
        <v>300.0</v>
      </c>
      <c r="G31" s="3" t="s">
        <v>545</v>
      </c>
      <c r="H31" s="116">
        <v>5.0</v>
      </c>
      <c r="I31" s="3">
        <v>6.0</v>
      </c>
      <c r="J31" s="58">
        <f t="shared" si="1"/>
        <v>8.89</v>
      </c>
    </row>
    <row r="32">
      <c r="A32" s="3" t="s">
        <v>610</v>
      </c>
      <c r="B32" s="3" t="s">
        <v>611</v>
      </c>
      <c r="C32" s="3" t="s">
        <v>612</v>
      </c>
      <c r="D32" s="115">
        <v>20.0</v>
      </c>
      <c r="E32" s="115">
        <v>25.0</v>
      </c>
      <c r="F32" s="115">
        <v>150.0</v>
      </c>
      <c r="G32" s="3" t="s">
        <v>567</v>
      </c>
      <c r="H32" s="116">
        <v>5.0</v>
      </c>
      <c r="I32" s="3">
        <v>8.0</v>
      </c>
      <c r="J32" s="58">
        <f t="shared" si="1"/>
        <v>21.33</v>
      </c>
    </row>
    <row r="33">
      <c r="A33" s="3" t="s">
        <v>615</v>
      </c>
      <c r="B33" s="3" t="s">
        <v>616</v>
      </c>
      <c r="C33" s="3" t="s">
        <v>617</v>
      </c>
      <c r="D33" s="115">
        <v>25.0</v>
      </c>
      <c r="E33" s="115">
        <v>30.0</v>
      </c>
      <c r="F33" s="115">
        <v>120.0</v>
      </c>
      <c r="G33" s="3" t="s">
        <v>618</v>
      </c>
      <c r="H33" s="116">
        <v>5.0</v>
      </c>
      <c r="I33" s="3">
        <v>7.0</v>
      </c>
      <c r="J33" s="58">
        <f t="shared" si="1"/>
        <v>17.72</v>
      </c>
    </row>
    <row r="34">
      <c r="A34" s="3" t="s">
        <v>619</v>
      </c>
      <c r="B34" s="3" t="s">
        <v>616</v>
      </c>
      <c r="C34" s="3" t="s">
        <v>617</v>
      </c>
      <c r="D34" s="115">
        <v>30.0</v>
      </c>
      <c r="E34" s="115">
        <v>35.0</v>
      </c>
      <c r="F34" s="115">
        <v>150.0</v>
      </c>
      <c r="G34" s="3" t="s">
        <v>618</v>
      </c>
      <c r="H34" s="116">
        <v>10.0</v>
      </c>
      <c r="I34" s="3">
        <v>8.0</v>
      </c>
      <c r="J34" s="58">
        <f t="shared" si="1"/>
        <v>10</v>
      </c>
    </row>
    <row r="35">
      <c r="A35" s="3" t="s">
        <v>238</v>
      </c>
      <c r="B35" s="3" t="s">
        <v>621</v>
      </c>
      <c r="C35" s="3" t="s">
        <v>617</v>
      </c>
      <c r="D35" s="115">
        <v>30.0</v>
      </c>
      <c r="E35" s="115">
        <v>35.0</v>
      </c>
      <c r="F35" s="115">
        <v>80.0</v>
      </c>
      <c r="G35" s="3" t="s">
        <v>622</v>
      </c>
      <c r="H35" s="116">
        <v>4.0</v>
      </c>
      <c r="I35" s="3">
        <v>6.0</v>
      </c>
      <c r="J35" s="58">
        <f t="shared" si="1"/>
        <v>17.65</v>
      </c>
    </row>
    <row r="36">
      <c r="A36" s="3" t="s">
        <v>623</v>
      </c>
      <c r="B36" s="3" t="s">
        <v>621</v>
      </c>
      <c r="C36" s="3" t="s">
        <v>617</v>
      </c>
      <c r="D36" s="115">
        <v>25.0</v>
      </c>
      <c r="E36" s="115">
        <v>30.0</v>
      </c>
      <c r="F36" s="115">
        <v>70.0</v>
      </c>
      <c r="G36" s="3" t="s">
        <v>567</v>
      </c>
      <c r="H36" s="116">
        <v>4.0</v>
      </c>
      <c r="I36" s="3">
        <v>6.0</v>
      </c>
      <c r="J36" s="58">
        <f t="shared" si="1"/>
        <v>20.69</v>
      </c>
    </row>
    <row r="37">
      <c r="A37" s="3" t="s">
        <v>624</v>
      </c>
      <c r="B37" s="3" t="s">
        <v>621</v>
      </c>
      <c r="C37" s="3" t="s">
        <v>617</v>
      </c>
      <c r="D37" s="115">
        <v>40.0</v>
      </c>
      <c r="E37" s="115">
        <v>50.0</v>
      </c>
      <c r="F37" s="115">
        <v>100.0</v>
      </c>
      <c r="G37" s="3" t="s">
        <v>618</v>
      </c>
      <c r="H37" s="116">
        <v>5.0</v>
      </c>
      <c r="I37" s="3">
        <v>7.0</v>
      </c>
      <c r="J37" s="58">
        <f t="shared" si="1"/>
        <v>12.73</v>
      </c>
    </row>
    <row r="38">
      <c r="A38" s="3" t="s">
        <v>626</v>
      </c>
      <c r="B38" s="3" t="s">
        <v>627</v>
      </c>
      <c r="C38" s="3" t="s">
        <v>617</v>
      </c>
      <c r="D38" s="115">
        <v>25.0</v>
      </c>
      <c r="E38" s="115">
        <v>30.0</v>
      </c>
      <c r="F38" s="115">
        <v>80.0</v>
      </c>
      <c r="G38" s="3" t="s">
        <v>622</v>
      </c>
      <c r="H38" s="116">
        <v>5.0</v>
      </c>
      <c r="I38" s="3">
        <v>7.0</v>
      </c>
      <c r="J38" s="58">
        <f t="shared" si="1"/>
        <v>19.72</v>
      </c>
    </row>
    <row r="39">
      <c r="A39" s="3" t="s">
        <v>628</v>
      </c>
      <c r="B39" s="3" t="s">
        <v>627</v>
      </c>
      <c r="C39" s="3" t="s">
        <v>617</v>
      </c>
      <c r="D39" s="115">
        <v>22.0</v>
      </c>
      <c r="E39" s="115">
        <v>27.0</v>
      </c>
      <c r="F39" s="115">
        <v>80.0</v>
      </c>
      <c r="G39" s="3" t="s">
        <v>622</v>
      </c>
      <c r="H39" s="116">
        <v>4.0</v>
      </c>
      <c r="I39" s="3">
        <v>3.0</v>
      </c>
      <c r="J39" s="58">
        <f t="shared" si="1"/>
        <v>10.87</v>
      </c>
    </row>
    <row r="40">
      <c r="A40" s="3" t="s">
        <v>630</v>
      </c>
      <c r="B40" s="3" t="s">
        <v>631</v>
      </c>
      <c r="C40" s="3" t="s">
        <v>617</v>
      </c>
      <c r="D40" s="115">
        <v>35.0</v>
      </c>
      <c r="E40" s="115">
        <v>40.0</v>
      </c>
      <c r="F40" s="115">
        <v>70.0</v>
      </c>
      <c r="G40" s="3" t="s">
        <v>570</v>
      </c>
      <c r="H40" s="116">
        <v>4.0</v>
      </c>
      <c r="I40" s="3">
        <v>6.0</v>
      </c>
      <c r="J40" s="58">
        <f t="shared" si="1"/>
        <v>16.22</v>
      </c>
    </row>
    <row r="41">
      <c r="A41" s="3" t="s">
        <v>632</v>
      </c>
      <c r="B41" s="3" t="s">
        <v>633</v>
      </c>
      <c r="C41" s="3" t="s">
        <v>617</v>
      </c>
      <c r="D41" s="115">
        <v>40.0</v>
      </c>
      <c r="E41" s="115">
        <v>40.0</v>
      </c>
      <c r="F41" s="115">
        <v>70.0</v>
      </c>
      <c r="G41" s="3" t="s">
        <v>622</v>
      </c>
      <c r="H41" s="116">
        <v>4.0</v>
      </c>
      <c r="I41" s="3">
        <v>5.0</v>
      </c>
      <c r="J41" s="58">
        <f t="shared" si="1"/>
        <v>12.82</v>
      </c>
    </row>
    <row r="42">
      <c r="A42" s="3" t="s">
        <v>634</v>
      </c>
      <c r="B42" s="3" t="s">
        <v>635</v>
      </c>
      <c r="C42" s="3" t="s">
        <v>617</v>
      </c>
      <c r="D42" s="115">
        <v>25.0</v>
      </c>
      <c r="E42" s="115">
        <v>30.0</v>
      </c>
      <c r="F42" s="115">
        <v>70.0</v>
      </c>
      <c r="G42" s="3" t="s">
        <v>618</v>
      </c>
      <c r="H42" s="116">
        <v>4.0</v>
      </c>
      <c r="I42" s="3">
        <v>4.0</v>
      </c>
      <c r="J42" s="58">
        <f t="shared" si="1"/>
        <v>13.79</v>
      </c>
    </row>
    <row r="43">
      <c r="A43" s="3" t="s">
        <v>636</v>
      </c>
      <c r="B43" s="3" t="s">
        <v>637</v>
      </c>
      <c r="C43" s="3" t="s">
        <v>617</v>
      </c>
      <c r="D43" s="115">
        <v>20.0</v>
      </c>
      <c r="E43" s="115">
        <v>25.0</v>
      </c>
      <c r="F43" s="115">
        <v>70.0</v>
      </c>
      <c r="G43" s="3" t="s">
        <v>567</v>
      </c>
      <c r="H43" s="116">
        <v>4.0</v>
      </c>
      <c r="I43" s="3">
        <v>6.0</v>
      </c>
      <c r="J43" s="58">
        <f t="shared" si="1"/>
        <v>24</v>
      </c>
    </row>
    <row r="44">
      <c r="A44" s="3" t="s">
        <v>639</v>
      </c>
      <c r="B44" s="3" t="s">
        <v>640</v>
      </c>
      <c r="C44" s="3" t="s">
        <v>617</v>
      </c>
      <c r="D44" s="115">
        <v>18.0</v>
      </c>
      <c r="E44" s="115">
        <v>25.0</v>
      </c>
      <c r="F44" s="115">
        <v>70.0</v>
      </c>
      <c r="G44" s="3" t="s">
        <v>618</v>
      </c>
      <c r="H44" s="116">
        <v>4.0</v>
      </c>
      <c r="I44" s="3">
        <v>6.0</v>
      </c>
      <c r="J44" s="58">
        <f t="shared" si="1"/>
        <v>24.79</v>
      </c>
    </row>
    <row r="45">
      <c r="A45" s="3" t="s">
        <v>641</v>
      </c>
      <c r="B45" s="3" t="s">
        <v>642</v>
      </c>
      <c r="C45" s="3" t="s">
        <v>617</v>
      </c>
      <c r="D45" s="115">
        <v>15.0</v>
      </c>
      <c r="E45" s="115">
        <v>22.0</v>
      </c>
      <c r="F45" s="115">
        <v>60.0</v>
      </c>
      <c r="G45" s="3" t="s">
        <v>567</v>
      </c>
      <c r="H45" s="116">
        <v>4.0</v>
      </c>
      <c r="I45" s="3">
        <v>5.0</v>
      </c>
      <c r="J45" s="58">
        <f t="shared" si="1"/>
        <v>24.04</v>
      </c>
    </row>
    <row r="46">
      <c r="A46" s="3" t="s">
        <v>644</v>
      </c>
      <c r="B46" s="3" t="s">
        <v>645</v>
      </c>
      <c r="C46" s="3" t="s">
        <v>617</v>
      </c>
      <c r="D46" s="115">
        <v>30.0</v>
      </c>
      <c r="E46" s="115">
        <v>35.0</v>
      </c>
      <c r="F46" s="115">
        <v>90.0</v>
      </c>
      <c r="G46" s="3" t="s">
        <v>567</v>
      </c>
      <c r="H46" s="116">
        <v>5.0</v>
      </c>
      <c r="I46" s="3">
        <v>7.0</v>
      </c>
      <c r="J46" s="58">
        <f t="shared" si="1"/>
        <v>16.87</v>
      </c>
    </row>
    <row r="47">
      <c r="A47" s="3" t="s">
        <v>646</v>
      </c>
      <c r="B47" s="3" t="s">
        <v>645</v>
      </c>
      <c r="C47" s="3" t="s">
        <v>617</v>
      </c>
      <c r="D47" s="115">
        <v>28.0</v>
      </c>
      <c r="E47" s="115">
        <v>35.0</v>
      </c>
      <c r="F47" s="115">
        <v>100.0</v>
      </c>
      <c r="G47" s="3" t="s">
        <v>567</v>
      </c>
      <c r="H47" s="116">
        <v>4.0</v>
      </c>
      <c r="I47" s="3">
        <v>5.0</v>
      </c>
      <c r="J47" s="58">
        <f t="shared" si="1"/>
        <v>14.2</v>
      </c>
    </row>
    <row r="48">
      <c r="A48" s="3" t="s">
        <v>647</v>
      </c>
      <c r="B48" s="3" t="s">
        <v>645</v>
      </c>
      <c r="C48" s="3" t="s">
        <v>617</v>
      </c>
      <c r="D48" s="115">
        <v>40.0</v>
      </c>
      <c r="E48" s="115">
        <v>45.0</v>
      </c>
      <c r="F48" s="115">
        <v>110.0</v>
      </c>
      <c r="G48" s="3" t="s">
        <v>618</v>
      </c>
      <c r="H48" s="116">
        <v>5.0</v>
      </c>
      <c r="I48" s="3">
        <v>7.0</v>
      </c>
      <c r="J48" s="58">
        <f t="shared" si="1"/>
        <v>13.08</v>
      </c>
    </row>
    <row r="49">
      <c r="A49" s="3" t="s">
        <v>649</v>
      </c>
      <c r="B49" s="3" t="s">
        <v>650</v>
      </c>
      <c r="C49" s="3" t="s">
        <v>617</v>
      </c>
      <c r="D49" s="115">
        <v>25.0</v>
      </c>
      <c r="E49" s="115">
        <v>30.0</v>
      </c>
      <c r="F49" s="115">
        <v>100.0</v>
      </c>
      <c r="G49" s="3" t="s">
        <v>618</v>
      </c>
      <c r="H49" s="116">
        <v>7.0</v>
      </c>
      <c r="I49" s="3">
        <v>6.0</v>
      </c>
      <c r="J49" s="58">
        <f t="shared" si="1"/>
        <v>12.37</v>
      </c>
    </row>
    <row r="50">
      <c r="A50" s="3" t="s">
        <v>651</v>
      </c>
      <c r="B50" s="3" t="s">
        <v>650</v>
      </c>
      <c r="C50" s="3" t="s">
        <v>617</v>
      </c>
      <c r="D50" s="115">
        <v>25.0</v>
      </c>
      <c r="E50" s="115">
        <v>30.0</v>
      </c>
      <c r="F50" s="115">
        <v>100.0</v>
      </c>
      <c r="G50" s="3" t="s">
        <v>618</v>
      </c>
      <c r="H50" s="116">
        <v>4.0</v>
      </c>
      <c r="I50" s="3">
        <v>5.0</v>
      </c>
      <c r="J50" s="58">
        <f t="shared" si="1"/>
        <v>15.63</v>
      </c>
    </row>
    <row r="51">
      <c r="A51" s="3" t="s">
        <v>652</v>
      </c>
      <c r="B51" s="3" t="s">
        <v>650</v>
      </c>
      <c r="C51" s="3" t="s">
        <v>617</v>
      </c>
      <c r="D51" s="115">
        <v>30.0</v>
      </c>
      <c r="E51" s="115">
        <v>35.0</v>
      </c>
      <c r="F51" s="115">
        <v>110.0</v>
      </c>
      <c r="G51" s="3" t="s">
        <v>618</v>
      </c>
      <c r="H51" s="116">
        <v>4.0</v>
      </c>
      <c r="I51" s="3">
        <v>5.0</v>
      </c>
      <c r="J51" s="58">
        <f t="shared" si="1"/>
        <v>13.51</v>
      </c>
    </row>
    <row r="52">
      <c r="A52" s="3" t="s">
        <v>653</v>
      </c>
      <c r="B52" s="3" t="s">
        <v>654</v>
      </c>
      <c r="C52" s="3" t="s">
        <v>617</v>
      </c>
      <c r="D52" s="115">
        <v>35.0</v>
      </c>
      <c r="E52" s="115">
        <v>45.0</v>
      </c>
      <c r="F52" s="115">
        <v>70.0</v>
      </c>
      <c r="G52" s="3" t="s">
        <v>618</v>
      </c>
      <c r="H52" s="116">
        <v>4.0</v>
      </c>
      <c r="I52" s="3">
        <v>7.0</v>
      </c>
      <c r="J52" s="58">
        <f t="shared" si="1"/>
        <v>17.95</v>
      </c>
    </row>
    <row r="53">
      <c r="A53" s="3" t="s">
        <v>655</v>
      </c>
      <c r="B53" s="3" t="s">
        <v>656</v>
      </c>
      <c r="C53" s="3" t="s">
        <v>617</v>
      </c>
      <c r="D53" s="115">
        <v>30.0</v>
      </c>
      <c r="E53" s="115">
        <v>40.0</v>
      </c>
      <c r="F53" s="115">
        <v>80.0</v>
      </c>
      <c r="G53" s="3" t="s">
        <v>618</v>
      </c>
      <c r="H53" s="116">
        <v>4.0</v>
      </c>
      <c r="I53" s="3">
        <v>7.0</v>
      </c>
      <c r="J53" s="58">
        <f t="shared" si="1"/>
        <v>19.44</v>
      </c>
    </row>
    <row r="54">
      <c r="A54" s="3" t="s">
        <v>657</v>
      </c>
      <c r="B54" s="3" t="s">
        <v>657</v>
      </c>
      <c r="C54" s="3" t="s">
        <v>617</v>
      </c>
      <c r="D54" s="115">
        <v>40.0</v>
      </c>
      <c r="E54" s="115">
        <v>50.0</v>
      </c>
      <c r="F54" s="115">
        <v>120.0</v>
      </c>
      <c r="G54" s="3" t="s">
        <v>658</v>
      </c>
      <c r="H54" s="116">
        <v>7.0</v>
      </c>
      <c r="I54" s="3">
        <v>3.0</v>
      </c>
      <c r="J54" s="58">
        <f t="shared" si="1"/>
        <v>4</v>
      </c>
    </row>
    <row r="55">
      <c r="A55" s="3" t="s">
        <v>659</v>
      </c>
      <c r="B55" s="3" t="s">
        <v>660</v>
      </c>
      <c r="C55" s="3" t="s">
        <v>617</v>
      </c>
      <c r="D55" s="115">
        <v>40.0</v>
      </c>
      <c r="E55" s="115">
        <v>55.0</v>
      </c>
      <c r="F55" s="115">
        <v>100.0</v>
      </c>
      <c r="G55" s="3" t="s">
        <v>658</v>
      </c>
      <c r="H55" s="116">
        <v>7.0</v>
      </c>
      <c r="I55" s="3">
        <v>4.0</v>
      </c>
      <c r="J55" s="58">
        <f t="shared" si="1"/>
        <v>5.23</v>
      </c>
    </row>
    <row r="56">
      <c r="A56" s="3" t="s">
        <v>661</v>
      </c>
      <c r="B56" s="3" t="s">
        <v>662</v>
      </c>
      <c r="C56" s="3" t="s">
        <v>663</v>
      </c>
      <c r="D56" s="115">
        <v>45.0</v>
      </c>
      <c r="E56" s="115">
        <v>50.0</v>
      </c>
      <c r="F56" s="115">
        <v>350.0</v>
      </c>
      <c r="G56" s="3" t="s">
        <v>567</v>
      </c>
      <c r="H56" s="116">
        <v>5.0</v>
      </c>
      <c r="I56" s="3">
        <v>10.0</v>
      </c>
      <c r="J56" s="58">
        <f t="shared" si="1"/>
        <v>12.12</v>
      </c>
    </row>
    <row r="57">
      <c r="A57" s="3" t="s">
        <v>664</v>
      </c>
      <c r="B57" s="3" t="s">
        <v>662</v>
      </c>
      <c r="C57" s="3" t="s">
        <v>663</v>
      </c>
      <c r="D57" s="115">
        <v>40.0</v>
      </c>
      <c r="E57" s="115">
        <v>50.0</v>
      </c>
      <c r="F57" s="115">
        <v>400.0</v>
      </c>
      <c r="G57" s="3" t="s">
        <v>570</v>
      </c>
      <c r="H57" s="116">
        <v>5.0</v>
      </c>
      <c r="I57" s="3">
        <v>10.0</v>
      </c>
      <c r="J57" s="58">
        <f t="shared" si="1"/>
        <v>11.76</v>
      </c>
    </row>
    <row r="58">
      <c r="A58" s="3" t="s">
        <v>665</v>
      </c>
      <c r="B58" s="3" t="s">
        <v>662</v>
      </c>
      <c r="C58" s="3" t="s">
        <v>663</v>
      </c>
      <c r="D58" s="115">
        <v>45.0</v>
      </c>
      <c r="E58" s="115">
        <v>50.0</v>
      </c>
      <c r="F58" s="115">
        <v>400.0</v>
      </c>
      <c r="G58" s="3" t="s">
        <v>666</v>
      </c>
      <c r="H58" s="116">
        <v>5.0</v>
      </c>
      <c r="I58" s="3">
        <v>10.0</v>
      </c>
      <c r="J58" s="58">
        <f t="shared" si="1"/>
        <v>11.43</v>
      </c>
    </row>
    <row r="59">
      <c r="A59" s="3" t="s">
        <v>668</v>
      </c>
      <c r="B59" s="3" t="s">
        <v>662</v>
      </c>
      <c r="C59" s="3" t="s">
        <v>663</v>
      </c>
      <c r="D59" s="115">
        <v>40.0</v>
      </c>
      <c r="E59" s="115">
        <v>50.0</v>
      </c>
      <c r="F59" s="115">
        <v>400.0</v>
      </c>
      <c r="G59" s="3" t="s">
        <v>545</v>
      </c>
      <c r="H59" s="116">
        <v>5.0</v>
      </c>
      <c r="I59" s="3">
        <v>10.0</v>
      </c>
      <c r="J59" s="58">
        <f t="shared" si="1"/>
        <v>11.76</v>
      </c>
    </row>
    <row r="60">
      <c r="A60" s="3" t="s">
        <v>671</v>
      </c>
      <c r="B60" s="3" t="s">
        <v>662</v>
      </c>
      <c r="C60" s="3" t="s">
        <v>663</v>
      </c>
      <c r="D60" s="115">
        <v>40.0</v>
      </c>
      <c r="E60" s="115">
        <v>50.0</v>
      </c>
      <c r="F60" s="115">
        <v>400.0</v>
      </c>
      <c r="G60" s="3" t="s">
        <v>618</v>
      </c>
      <c r="H60" s="116">
        <v>21.0</v>
      </c>
      <c r="I60" s="3">
        <v>8.0</v>
      </c>
      <c r="J60" s="58">
        <f t="shared" si="1"/>
        <v>3.49</v>
      </c>
    </row>
    <row r="61">
      <c r="A61" s="3" t="s">
        <v>672</v>
      </c>
      <c r="B61" s="3" t="s">
        <v>673</v>
      </c>
      <c r="C61" s="3" t="s">
        <v>663</v>
      </c>
      <c r="D61" s="115">
        <v>35.0</v>
      </c>
      <c r="E61" s="115">
        <v>40.0</v>
      </c>
      <c r="F61" s="115">
        <v>350.0</v>
      </c>
      <c r="G61" s="3" t="s">
        <v>618</v>
      </c>
      <c r="H61" s="116">
        <v>5.0</v>
      </c>
      <c r="I61" s="3">
        <v>7.0</v>
      </c>
      <c r="J61" s="58">
        <f t="shared" si="1"/>
        <v>9.66</v>
      </c>
    </row>
    <row r="62">
      <c r="A62" s="3" t="s">
        <v>674</v>
      </c>
      <c r="B62" s="3" t="s">
        <v>673</v>
      </c>
      <c r="C62" s="3" t="s">
        <v>663</v>
      </c>
      <c r="D62" s="115">
        <v>35.0</v>
      </c>
      <c r="E62" s="115">
        <v>40.0</v>
      </c>
      <c r="F62" s="115">
        <v>450.0</v>
      </c>
      <c r="G62" s="3" t="s">
        <v>618</v>
      </c>
      <c r="H62" s="116">
        <v>7.0</v>
      </c>
      <c r="I62" s="3">
        <v>6.0</v>
      </c>
      <c r="J62" s="58">
        <f t="shared" si="1"/>
        <v>6.15</v>
      </c>
    </row>
    <row r="63">
      <c r="A63" s="3" t="s">
        <v>675</v>
      </c>
      <c r="B63" s="3" t="s">
        <v>676</v>
      </c>
      <c r="C63" s="3" t="s">
        <v>677</v>
      </c>
      <c r="D63" s="115">
        <v>18.0</v>
      </c>
      <c r="E63" s="115">
        <v>25.0</v>
      </c>
      <c r="F63" s="115">
        <v>500.0</v>
      </c>
      <c r="G63" s="3" t="s">
        <v>570</v>
      </c>
      <c r="H63" s="116">
        <v>5.0</v>
      </c>
      <c r="I63" s="3">
        <v>6.0</v>
      </c>
      <c r="J63" s="58">
        <f t="shared" si="1"/>
        <v>8.39</v>
      </c>
    </row>
    <row r="64">
      <c r="A64" s="3" t="s">
        <v>678</v>
      </c>
      <c r="B64" s="3" t="s">
        <v>676</v>
      </c>
      <c r="C64" s="3" t="s">
        <v>677</v>
      </c>
      <c r="D64" s="115">
        <v>25.0</v>
      </c>
      <c r="E64" s="115">
        <v>30.0</v>
      </c>
      <c r="F64" s="115">
        <v>500.0</v>
      </c>
      <c r="G64" s="3" t="s">
        <v>545</v>
      </c>
      <c r="H64" s="116">
        <v>10.0</v>
      </c>
      <c r="I64" s="3">
        <v>4.0</v>
      </c>
      <c r="J64" s="58">
        <f t="shared" si="1"/>
        <v>3.81</v>
      </c>
    </row>
    <row r="65">
      <c r="A65" s="3" t="s">
        <v>679</v>
      </c>
      <c r="B65" s="3" t="s">
        <v>679</v>
      </c>
      <c r="C65" s="3" t="s">
        <v>677</v>
      </c>
      <c r="D65" s="115">
        <v>22.0</v>
      </c>
      <c r="E65" s="115">
        <v>30.0</v>
      </c>
      <c r="F65" s="115">
        <v>550.0</v>
      </c>
      <c r="G65" s="3" t="s">
        <v>545</v>
      </c>
      <c r="H65" s="116">
        <v>14.0</v>
      </c>
      <c r="I65" s="3">
        <v>7.5</v>
      </c>
      <c r="J65" s="58">
        <f t="shared" si="1"/>
        <v>5.87</v>
      </c>
    </row>
    <row r="66">
      <c r="A66" s="3" t="s">
        <v>680</v>
      </c>
      <c r="B66" s="3" t="s">
        <v>681</v>
      </c>
      <c r="C66" s="3" t="s">
        <v>682</v>
      </c>
      <c r="D66" s="115">
        <v>20.0</v>
      </c>
      <c r="E66" s="115">
        <v>25.0</v>
      </c>
      <c r="F66" s="115">
        <v>600.0</v>
      </c>
      <c r="G66" s="3" t="s">
        <v>545</v>
      </c>
      <c r="H66" s="116">
        <v>7.0</v>
      </c>
      <c r="I66" s="3">
        <v>10.0</v>
      </c>
      <c r="J66" s="58">
        <f t="shared" si="1"/>
        <v>10.93</v>
      </c>
    </row>
    <row r="67">
      <c r="A67" s="3" t="s">
        <v>683</v>
      </c>
      <c r="B67" s="3" t="s">
        <v>681</v>
      </c>
      <c r="C67" s="3" t="s">
        <v>682</v>
      </c>
      <c r="D67" s="115">
        <v>18.0</v>
      </c>
      <c r="E67" s="115">
        <v>25.0</v>
      </c>
      <c r="F67" s="115">
        <v>600.0</v>
      </c>
      <c r="G67" s="3" t="s">
        <v>545</v>
      </c>
      <c r="H67" s="116">
        <v>4.0</v>
      </c>
      <c r="I67" s="3">
        <v>10.0</v>
      </c>
      <c r="J67" s="58">
        <f t="shared" si="1"/>
        <v>12.95</v>
      </c>
    </row>
    <row r="68">
      <c r="A68" s="3" t="s">
        <v>685</v>
      </c>
      <c r="B68" s="3" t="s">
        <v>681</v>
      </c>
      <c r="C68" s="3" t="s">
        <v>682</v>
      </c>
      <c r="D68" s="115">
        <v>20.0</v>
      </c>
      <c r="E68" s="115">
        <v>28.0</v>
      </c>
      <c r="F68" s="115">
        <v>600.0</v>
      </c>
      <c r="G68" s="3" t="s">
        <v>545</v>
      </c>
      <c r="H68" s="116">
        <v>21.0</v>
      </c>
      <c r="I68" s="3">
        <v>10.0</v>
      </c>
      <c r="J68" s="58">
        <f t="shared" si="1"/>
        <v>6.22</v>
      </c>
    </row>
    <row r="69">
      <c r="A69" s="3" t="s">
        <v>688</v>
      </c>
      <c r="B69" s="3" t="s">
        <v>689</v>
      </c>
      <c r="C69" s="3" t="s">
        <v>682</v>
      </c>
      <c r="D69" s="115">
        <v>15.0</v>
      </c>
      <c r="E69" s="115">
        <v>22.0</v>
      </c>
      <c r="F69" s="115">
        <v>650.0</v>
      </c>
      <c r="G69" s="3" t="s">
        <v>545</v>
      </c>
      <c r="H69" s="116">
        <v>7.0</v>
      </c>
      <c r="I69" s="3">
        <v>8.0</v>
      </c>
      <c r="J69" s="58">
        <f t="shared" si="1"/>
        <v>8.8</v>
      </c>
    </row>
    <row r="70">
      <c r="A70" s="3" t="s">
        <v>690</v>
      </c>
      <c r="B70" s="3" t="s">
        <v>691</v>
      </c>
      <c r="C70" s="3" t="s">
        <v>682</v>
      </c>
      <c r="D70" s="115">
        <v>25.0</v>
      </c>
      <c r="E70" s="115">
        <v>35.0</v>
      </c>
      <c r="F70" s="115">
        <v>700.0</v>
      </c>
      <c r="G70" s="3" t="s">
        <v>545</v>
      </c>
      <c r="H70" s="116">
        <v>14.0</v>
      </c>
      <c r="I70" s="3">
        <v>7.0</v>
      </c>
      <c r="J70" s="58">
        <f t="shared" si="1"/>
        <v>4.55</v>
      </c>
    </row>
    <row r="71">
      <c r="A71" s="3" t="s">
        <v>692</v>
      </c>
      <c r="B71" s="3" t="s">
        <v>693</v>
      </c>
      <c r="C71" s="3" t="s">
        <v>682</v>
      </c>
      <c r="D71" s="115">
        <v>20.0</v>
      </c>
      <c r="E71" s="115">
        <v>28.0</v>
      </c>
      <c r="F71" s="115">
        <v>650.0</v>
      </c>
      <c r="G71" s="3" t="s">
        <v>545</v>
      </c>
      <c r="H71" s="116">
        <v>5.0</v>
      </c>
      <c r="I71" s="3">
        <v>6.5</v>
      </c>
      <c r="J71" s="58">
        <f t="shared" si="1"/>
        <v>7.3</v>
      </c>
    </row>
    <row r="72">
      <c r="A72" s="3" t="s">
        <v>694</v>
      </c>
      <c r="B72" s="3" t="s">
        <v>695</v>
      </c>
      <c r="C72" s="3" t="s">
        <v>682</v>
      </c>
      <c r="D72" s="115">
        <v>15.0</v>
      </c>
      <c r="E72" s="115">
        <v>22.0</v>
      </c>
      <c r="F72" s="115">
        <v>650.0</v>
      </c>
      <c r="G72" s="3" t="s">
        <v>562</v>
      </c>
      <c r="H72" s="116">
        <v>14.0</v>
      </c>
      <c r="I72" s="3">
        <v>6.5</v>
      </c>
      <c r="J72" s="58">
        <f t="shared" si="1"/>
        <v>5.57</v>
      </c>
    </row>
    <row r="73">
      <c r="A73" s="3" t="s">
        <v>696</v>
      </c>
      <c r="B73" s="3" t="s">
        <v>695</v>
      </c>
      <c r="C73" s="3" t="s">
        <v>682</v>
      </c>
      <c r="D73" s="115">
        <v>15.0</v>
      </c>
      <c r="E73" s="115">
        <v>25.0</v>
      </c>
      <c r="F73" s="115">
        <v>650.0</v>
      </c>
      <c r="G73" s="3" t="s">
        <v>562</v>
      </c>
      <c r="H73" s="116">
        <v>7.0</v>
      </c>
      <c r="I73" s="3">
        <v>7.0</v>
      </c>
      <c r="J73" s="58">
        <f t="shared" si="1"/>
        <v>7.53</v>
      </c>
    </row>
    <row r="74">
      <c r="A74" s="3" t="s">
        <v>697</v>
      </c>
      <c r="B74" s="3" t="s">
        <v>698</v>
      </c>
      <c r="C74" s="3" t="s">
        <v>682</v>
      </c>
      <c r="D74" s="115">
        <v>15.0</v>
      </c>
      <c r="E74" s="115">
        <v>22.0</v>
      </c>
      <c r="F74" s="115">
        <v>550.0</v>
      </c>
      <c r="G74" s="3" t="s">
        <v>545</v>
      </c>
      <c r="H74" s="116">
        <v>14.0</v>
      </c>
      <c r="I74" s="3">
        <v>7.0</v>
      </c>
      <c r="J74" s="58">
        <f t="shared" si="1"/>
        <v>6.55</v>
      </c>
    </row>
    <row r="75">
      <c r="A75" s="3" t="s">
        <v>699</v>
      </c>
      <c r="B75" s="3" t="s">
        <v>700</v>
      </c>
      <c r="C75" s="3" t="s">
        <v>701</v>
      </c>
      <c r="D75" s="115">
        <v>20.0</v>
      </c>
      <c r="E75" s="115">
        <v>30.0</v>
      </c>
      <c r="F75" s="115">
        <v>500.0</v>
      </c>
      <c r="G75" s="3" t="s">
        <v>545</v>
      </c>
      <c r="H75" s="116">
        <v>10.0</v>
      </c>
      <c r="I75" s="3">
        <v>7.0</v>
      </c>
      <c r="J75" s="58">
        <f t="shared" si="1"/>
        <v>7</v>
      </c>
    </row>
    <row r="76">
      <c r="A76" s="3" t="s">
        <v>702</v>
      </c>
      <c r="B76" s="3" t="s">
        <v>703</v>
      </c>
      <c r="C76" s="3" t="s">
        <v>701</v>
      </c>
      <c r="D76" s="115">
        <v>15.0</v>
      </c>
      <c r="E76" s="115">
        <v>22.0</v>
      </c>
      <c r="F76" s="115">
        <v>100.0</v>
      </c>
      <c r="G76" s="3" t="s">
        <v>567</v>
      </c>
      <c r="H76" s="116">
        <v>7.0</v>
      </c>
      <c r="I76" s="3">
        <v>7.5</v>
      </c>
      <c r="J76" s="58">
        <f t="shared" si="1"/>
        <v>20.89</v>
      </c>
    </row>
    <row r="77">
      <c r="A77" s="3" t="s">
        <v>704</v>
      </c>
      <c r="B77" s="3" t="s">
        <v>703</v>
      </c>
      <c r="C77" s="3" t="s">
        <v>701</v>
      </c>
      <c r="D77" s="115">
        <v>15.0</v>
      </c>
      <c r="E77" s="115">
        <v>22.0</v>
      </c>
      <c r="F77" s="115">
        <v>100.0</v>
      </c>
      <c r="G77" s="3" t="s">
        <v>567</v>
      </c>
      <c r="H77" s="116">
        <v>4.0</v>
      </c>
      <c r="I77" s="3">
        <v>5.0</v>
      </c>
      <c r="J77" s="58">
        <f t="shared" si="1"/>
        <v>20.16</v>
      </c>
    </row>
    <row r="78">
      <c r="A78" s="3" t="s">
        <v>705</v>
      </c>
      <c r="B78" s="3" t="s">
        <v>706</v>
      </c>
      <c r="C78" s="3" t="s">
        <v>701</v>
      </c>
      <c r="D78" s="115">
        <v>25.0</v>
      </c>
      <c r="E78" s="115">
        <v>30.0</v>
      </c>
      <c r="F78" s="115">
        <v>550.0</v>
      </c>
      <c r="G78" s="3" t="s">
        <v>562</v>
      </c>
      <c r="H78" s="116">
        <v>7.0</v>
      </c>
      <c r="I78" s="3">
        <v>4.0</v>
      </c>
      <c r="J78" s="58">
        <f t="shared" si="1"/>
        <v>4.28</v>
      </c>
    </row>
    <row r="79">
      <c r="A79" s="3" t="s">
        <v>707</v>
      </c>
      <c r="B79" s="3" t="s">
        <v>707</v>
      </c>
      <c r="C79" s="3" t="s">
        <v>701</v>
      </c>
      <c r="D79" s="115">
        <v>20.0</v>
      </c>
      <c r="E79" s="115">
        <v>30.0</v>
      </c>
      <c r="F79" s="115">
        <v>500.0</v>
      </c>
      <c r="G79" s="3" t="s">
        <v>562</v>
      </c>
      <c r="H79" s="116">
        <v>10.0</v>
      </c>
      <c r="I79" s="3">
        <v>4.0</v>
      </c>
      <c r="J79" s="58">
        <f t="shared" si="1"/>
        <v>4</v>
      </c>
    </row>
    <row r="80">
      <c r="J80" s="36" t="str">
        <f t="shared" si="1"/>
        <v/>
      </c>
    </row>
    <row r="81">
      <c r="J81" s="36" t="str">
        <f t="shared" si="1"/>
        <v/>
      </c>
    </row>
    <row r="82">
      <c r="J82" s="36" t="str">
        <f t="shared" si="1"/>
        <v/>
      </c>
    </row>
    <row r="83">
      <c r="J83" s="36" t="str">
        <f t="shared" si="1"/>
        <v/>
      </c>
    </row>
    <row r="84">
      <c r="J84" s="36" t="str">
        <f t="shared" si="1"/>
        <v/>
      </c>
    </row>
    <row r="85">
      <c r="J85" s="36" t="str">
        <f t="shared" si="1"/>
        <v/>
      </c>
    </row>
    <row r="86">
      <c r="J86" s="36" t="str">
        <f t="shared" si="1"/>
        <v/>
      </c>
    </row>
    <row r="87">
      <c r="J87" s="36" t="str">
        <f t="shared" si="1"/>
        <v/>
      </c>
    </row>
    <row r="88">
      <c r="J88" s="36" t="str">
        <f t="shared" si="1"/>
        <v/>
      </c>
    </row>
    <row r="89">
      <c r="J89" s="36" t="str">
        <f t="shared" si="1"/>
        <v/>
      </c>
    </row>
    <row r="90">
      <c r="J90" s="36" t="str">
        <f t="shared" si="1"/>
        <v/>
      </c>
    </row>
    <row r="91">
      <c r="J91" s="36" t="str">
        <f t="shared" si="1"/>
        <v/>
      </c>
    </row>
    <row r="92">
      <c r="J92" s="36" t="str">
        <f t="shared" si="1"/>
        <v/>
      </c>
    </row>
    <row r="93">
      <c r="J93" s="36" t="str">
        <f t="shared" si="1"/>
        <v/>
      </c>
    </row>
    <row r="94">
      <c r="J94" s="36" t="str">
        <f t="shared" si="1"/>
        <v/>
      </c>
    </row>
    <row r="95">
      <c r="J95" s="36" t="str">
        <f t="shared" si="1"/>
        <v/>
      </c>
    </row>
    <row r="96">
      <c r="J96" s="36" t="str">
        <f t="shared" si="1"/>
        <v/>
      </c>
    </row>
    <row r="97">
      <c r="J97" s="36" t="str">
        <f t="shared" si="1"/>
        <v/>
      </c>
    </row>
    <row r="98">
      <c r="J98" s="36" t="str">
        <f t="shared" si="1"/>
        <v/>
      </c>
    </row>
    <row r="99">
      <c r="J99" s="36" t="str">
        <f t="shared" si="1"/>
        <v/>
      </c>
    </row>
    <row r="100">
      <c r="J100" s="36" t="str">
        <f t="shared" si="1"/>
        <v/>
      </c>
    </row>
    <row r="101">
      <c r="J101" s="36" t="str">
        <f t="shared" si="1"/>
        <v/>
      </c>
    </row>
    <row r="102">
      <c r="J102" s="36" t="str">
        <f t="shared" si="1"/>
        <v/>
      </c>
    </row>
    <row r="103">
      <c r="J103" s="36" t="str">
        <f t="shared" si="1"/>
        <v/>
      </c>
    </row>
    <row r="104">
      <c r="J104" s="36" t="str">
        <f t="shared" si="1"/>
        <v/>
      </c>
    </row>
    <row r="105">
      <c r="J105" s="36" t="str">
        <f t="shared" si="1"/>
        <v/>
      </c>
    </row>
    <row r="106">
      <c r="J106" s="36" t="str">
        <f t="shared" si="1"/>
        <v/>
      </c>
    </row>
    <row r="107">
      <c r="J107" s="36" t="str">
        <f t="shared" si="1"/>
        <v/>
      </c>
    </row>
    <row r="108">
      <c r="J108" s="36" t="str">
        <f t="shared" si="1"/>
        <v/>
      </c>
    </row>
    <row r="109">
      <c r="J109" s="36" t="str">
        <f t="shared" si="1"/>
        <v/>
      </c>
    </row>
    <row r="110">
      <c r="J110" s="36" t="str">
        <f t="shared" si="1"/>
        <v/>
      </c>
    </row>
    <row r="111">
      <c r="J111" s="36" t="str">
        <f t="shared" si="1"/>
        <v/>
      </c>
    </row>
    <row r="112">
      <c r="J112" s="36" t="str">
        <f t="shared" si="1"/>
        <v/>
      </c>
    </row>
    <row r="113">
      <c r="J113" s="36" t="str">
        <f t="shared" si="1"/>
        <v/>
      </c>
    </row>
    <row r="114">
      <c r="J114" s="36" t="str">
        <f t="shared" si="1"/>
        <v/>
      </c>
    </row>
    <row r="115">
      <c r="J115" s="36" t="str">
        <f t="shared" si="1"/>
        <v/>
      </c>
    </row>
    <row r="116">
      <c r="J116" s="36" t="str">
        <f t="shared" si="1"/>
        <v/>
      </c>
    </row>
    <row r="117">
      <c r="J117" s="36" t="str">
        <f t="shared" si="1"/>
        <v/>
      </c>
    </row>
    <row r="118">
      <c r="J118" s="36" t="str">
        <f t="shared" si="1"/>
        <v/>
      </c>
    </row>
    <row r="119">
      <c r="J119" s="36" t="str">
        <f t="shared" si="1"/>
        <v/>
      </c>
    </row>
    <row r="120">
      <c r="J120" s="36" t="str">
        <f t="shared" si="1"/>
        <v/>
      </c>
    </row>
    <row r="121">
      <c r="J121" s="36" t="str">
        <f t="shared" si="1"/>
        <v/>
      </c>
    </row>
    <row r="122">
      <c r="J122" s="36" t="str">
        <f t="shared" si="1"/>
        <v/>
      </c>
    </row>
    <row r="123">
      <c r="J123" s="36" t="str">
        <f t="shared" si="1"/>
        <v/>
      </c>
    </row>
    <row r="124">
      <c r="J124" s="36" t="str">
        <f t="shared" si="1"/>
        <v/>
      </c>
    </row>
    <row r="125">
      <c r="J125" s="36" t="str">
        <f t="shared" si="1"/>
        <v/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4" max="4" width="111.38"/>
    <col customWidth="1" min="5" max="5" width="14.63"/>
  </cols>
  <sheetData>
    <row r="3">
      <c r="A3" s="3" t="s">
        <v>739</v>
      </c>
      <c r="B3" s="3" t="s">
        <v>741</v>
      </c>
      <c r="C3" s="3" t="s">
        <v>742</v>
      </c>
      <c r="D3" s="3" t="s">
        <v>743</v>
      </c>
      <c r="E3" s="117">
        <v>46349.0</v>
      </c>
      <c r="F3" s="118">
        <f t="shared" ref="F3:O3" si="1">E3+7</f>
        <v>46356</v>
      </c>
      <c r="G3" s="118">
        <f t="shared" si="1"/>
        <v>46363</v>
      </c>
      <c r="H3" s="118">
        <f t="shared" si="1"/>
        <v>46370</v>
      </c>
      <c r="I3" s="118">
        <f t="shared" si="1"/>
        <v>46377</v>
      </c>
      <c r="J3" s="118">
        <f t="shared" si="1"/>
        <v>46384</v>
      </c>
      <c r="K3" s="118">
        <f t="shared" si="1"/>
        <v>46391</v>
      </c>
      <c r="L3" s="118">
        <f t="shared" si="1"/>
        <v>46398</v>
      </c>
      <c r="M3" s="118">
        <f t="shared" si="1"/>
        <v>46405</v>
      </c>
      <c r="N3" s="118">
        <f t="shared" si="1"/>
        <v>46412</v>
      </c>
      <c r="O3" s="118">
        <f t="shared" si="1"/>
        <v>46419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19" t="s">
        <v>750</v>
      </c>
      <c r="B4" s="49">
        <v>46374.0</v>
      </c>
      <c r="C4" s="49">
        <v>46398.0</v>
      </c>
      <c r="D4" s="53" t="s">
        <v>754</v>
      </c>
      <c r="E4" s="36" t="str">
        <f t="shared" ref="E4:O4" si="2">IF(OR($B4="",$C4=""),"TBC",IF(AND(E$3+6&gt;=$B4,E$3&lt;$C4),"HOME","AWAY"))</f>
        <v>AWAY</v>
      </c>
      <c r="F4" s="36" t="str">
        <f t="shared" si="2"/>
        <v>AWAY</v>
      </c>
      <c r="G4" s="36" t="str">
        <f t="shared" si="2"/>
        <v>AWAY</v>
      </c>
      <c r="H4" s="36" t="str">
        <f t="shared" si="2"/>
        <v>HOME</v>
      </c>
      <c r="I4" s="36" t="str">
        <f t="shared" si="2"/>
        <v>HOME</v>
      </c>
      <c r="J4" s="36" t="str">
        <f t="shared" si="2"/>
        <v>HOME</v>
      </c>
      <c r="K4" s="36" t="str">
        <f t="shared" si="2"/>
        <v>HOME</v>
      </c>
      <c r="L4" s="36" t="str">
        <f t="shared" si="2"/>
        <v>AWAY</v>
      </c>
      <c r="M4" s="36" t="str">
        <f t="shared" si="2"/>
        <v>AWAY</v>
      </c>
      <c r="N4" s="36" t="str">
        <f t="shared" si="2"/>
        <v>AWAY</v>
      </c>
      <c r="O4" s="36" t="str">
        <f t="shared" si="2"/>
        <v>AWAY</v>
      </c>
    </row>
    <row r="5">
      <c r="A5" s="119" t="s">
        <v>764</v>
      </c>
      <c r="B5" s="120">
        <v>46367.0</v>
      </c>
      <c r="C5" s="103">
        <v>46398.0</v>
      </c>
      <c r="D5" s="53" t="s">
        <v>765</v>
      </c>
      <c r="E5" s="36" t="str">
        <f t="shared" ref="E5:O5" si="3">IF(OR($B5="",$C5=""),"TBC",IF(AND(E$3+6&gt;=$B5,E$3&lt;$C5),"HOME","AWAY"))</f>
        <v>AWAY</v>
      </c>
      <c r="F5" s="36" t="str">
        <f t="shared" si="3"/>
        <v>AWAY</v>
      </c>
      <c r="G5" s="36" t="str">
        <f t="shared" si="3"/>
        <v>HOME</v>
      </c>
      <c r="H5" s="36" t="str">
        <f t="shared" si="3"/>
        <v>HOME</v>
      </c>
      <c r="I5" s="36" t="str">
        <f t="shared" si="3"/>
        <v>HOME</v>
      </c>
      <c r="J5" s="36" t="str">
        <f t="shared" si="3"/>
        <v>HOME</v>
      </c>
      <c r="K5" s="36" t="str">
        <f t="shared" si="3"/>
        <v>HOME</v>
      </c>
      <c r="L5" s="36" t="str">
        <f t="shared" si="3"/>
        <v>AWAY</v>
      </c>
      <c r="M5" s="36" t="str">
        <f t="shared" si="3"/>
        <v>AWAY</v>
      </c>
      <c r="N5" s="36" t="str">
        <f t="shared" si="3"/>
        <v>AWAY</v>
      </c>
      <c r="O5" s="36" t="str">
        <f t="shared" si="3"/>
        <v>AWAY</v>
      </c>
    </row>
    <row r="6">
      <c r="A6" s="3" t="s">
        <v>767</v>
      </c>
      <c r="B6" s="120">
        <v>46374.0</v>
      </c>
      <c r="C6" s="103">
        <v>46398.0</v>
      </c>
      <c r="D6" s="52" t="s">
        <v>768</v>
      </c>
      <c r="E6" s="36" t="str">
        <f t="shared" ref="E6:O6" si="4">IF(OR($B6="",$C6=""),"TBC",IF(AND(E$3+6&gt;=$B6,E$3&lt;$C6),"HOME","AWAY"))</f>
        <v>AWAY</v>
      </c>
      <c r="F6" s="36" t="str">
        <f t="shared" si="4"/>
        <v>AWAY</v>
      </c>
      <c r="G6" s="36" t="str">
        <f t="shared" si="4"/>
        <v>AWAY</v>
      </c>
      <c r="H6" s="36" t="str">
        <f t="shared" si="4"/>
        <v>HOME</v>
      </c>
      <c r="I6" s="36" t="str">
        <f t="shared" si="4"/>
        <v>HOME</v>
      </c>
      <c r="J6" s="36" t="str">
        <f t="shared" si="4"/>
        <v>HOME</v>
      </c>
      <c r="K6" s="36" t="str">
        <f t="shared" si="4"/>
        <v>HOME</v>
      </c>
      <c r="L6" s="36" t="str">
        <f t="shared" si="4"/>
        <v>AWAY</v>
      </c>
      <c r="M6" s="36" t="str">
        <f t="shared" si="4"/>
        <v>AWAY</v>
      </c>
      <c r="N6" s="36" t="str">
        <f t="shared" si="4"/>
        <v>AWAY</v>
      </c>
      <c r="O6" s="36" t="str">
        <f t="shared" si="4"/>
        <v>AWAY</v>
      </c>
    </row>
    <row r="7">
      <c r="A7" s="3" t="s">
        <v>769</v>
      </c>
      <c r="B7" s="120">
        <v>46374.0</v>
      </c>
      <c r="C7" s="103">
        <v>46409.0</v>
      </c>
      <c r="D7" s="53" t="s">
        <v>770</v>
      </c>
      <c r="E7" s="36" t="str">
        <f t="shared" ref="E7:O7" si="5">IF(OR($B7="",$C7=""),"TBC",IF(AND(E$3+6&gt;=$B7,E$3&lt;$C7),"HOME","AWAY"))</f>
        <v>AWAY</v>
      </c>
      <c r="F7" s="36" t="str">
        <f t="shared" si="5"/>
        <v>AWAY</v>
      </c>
      <c r="G7" s="36" t="str">
        <f t="shared" si="5"/>
        <v>AWAY</v>
      </c>
      <c r="H7" s="36" t="str">
        <f t="shared" si="5"/>
        <v>HOME</v>
      </c>
      <c r="I7" s="36" t="str">
        <f t="shared" si="5"/>
        <v>HOME</v>
      </c>
      <c r="J7" s="36" t="str">
        <f t="shared" si="5"/>
        <v>HOME</v>
      </c>
      <c r="K7" s="36" t="str">
        <f t="shared" si="5"/>
        <v>HOME</v>
      </c>
      <c r="L7" s="36" t="str">
        <f t="shared" si="5"/>
        <v>HOME</v>
      </c>
      <c r="M7" s="36" t="str">
        <f t="shared" si="5"/>
        <v>HOME</v>
      </c>
      <c r="N7" s="36" t="str">
        <f t="shared" si="5"/>
        <v>AWAY</v>
      </c>
      <c r="O7" s="36" t="str">
        <f t="shared" si="5"/>
        <v>AWAY</v>
      </c>
    </row>
    <row r="8">
      <c r="A8" s="3" t="s">
        <v>771</v>
      </c>
      <c r="B8" s="120">
        <v>46367.0</v>
      </c>
      <c r="C8" s="103">
        <v>46389.0</v>
      </c>
      <c r="D8" s="53" t="s">
        <v>772</v>
      </c>
      <c r="E8" s="36" t="str">
        <f t="shared" ref="E8:O8" si="6">IF(OR($B8="",$C8=""),"TBC",IF(AND(E$3+6&gt;=$B8,E$3&lt;$C8),"HOME","AWAY"))</f>
        <v>AWAY</v>
      </c>
      <c r="F8" s="36" t="str">
        <f t="shared" si="6"/>
        <v>AWAY</v>
      </c>
      <c r="G8" s="36" t="str">
        <f t="shared" si="6"/>
        <v>HOME</v>
      </c>
      <c r="H8" s="36" t="str">
        <f t="shared" si="6"/>
        <v>HOME</v>
      </c>
      <c r="I8" s="36" t="str">
        <f t="shared" si="6"/>
        <v>HOME</v>
      </c>
      <c r="J8" s="36" t="str">
        <f t="shared" si="6"/>
        <v>HOME</v>
      </c>
      <c r="K8" s="36" t="str">
        <f t="shared" si="6"/>
        <v>AWAY</v>
      </c>
      <c r="L8" s="36" t="str">
        <f t="shared" si="6"/>
        <v>AWAY</v>
      </c>
      <c r="M8" s="36" t="str">
        <f t="shared" si="6"/>
        <v>AWAY</v>
      </c>
      <c r="N8" s="36" t="str">
        <f t="shared" si="6"/>
        <v>AWAY</v>
      </c>
      <c r="O8" s="36" t="str">
        <f t="shared" si="6"/>
        <v>AWAY</v>
      </c>
    </row>
    <row r="9">
      <c r="A9" s="3" t="s">
        <v>773</v>
      </c>
      <c r="B9" s="120">
        <v>46367.0</v>
      </c>
      <c r="C9" s="103">
        <v>46398.0</v>
      </c>
      <c r="D9" s="53" t="s">
        <v>774</v>
      </c>
      <c r="E9" s="36" t="str">
        <f t="shared" ref="E9:O9" si="7">IF(OR($B9="",$C9=""),"TBC",IF(AND(E$3+6&gt;=$B9,E$3&lt;$C9),"HOME","AWAY"))</f>
        <v>AWAY</v>
      </c>
      <c r="F9" s="36" t="str">
        <f t="shared" si="7"/>
        <v>AWAY</v>
      </c>
      <c r="G9" s="36" t="str">
        <f t="shared" si="7"/>
        <v>HOME</v>
      </c>
      <c r="H9" s="36" t="str">
        <f t="shared" si="7"/>
        <v>HOME</v>
      </c>
      <c r="I9" s="36" t="str">
        <f t="shared" si="7"/>
        <v>HOME</v>
      </c>
      <c r="J9" s="36" t="str">
        <f t="shared" si="7"/>
        <v>HOME</v>
      </c>
      <c r="K9" s="36" t="str">
        <f t="shared" si="7"/>
        <v>HOME</v>
      </c>
      <c r="L9" s="36" t="str">
        <f t="shared" si="7"/>
        <v>AWAY</v>
      </c>
      <c r="M9" s="36" t="str">
        <f t="shared" si="7"/>
        <v>AWAY</v>
      </c>
      <c r="N9" s="36" t="str">
        <f t="shared" si="7"/>
        <v>AWAY</v>
      </c>
      <c r="O9" s="36" t="str">
        <f t="shared" si="7"/>
        <v>AWAY</v>
      </c>
    </row>
    <row r="10">
      <c r="A10" s="3" t="s">
        <v>782</v>
      </c>
      <c r="B10" s="120">
        <v>46367.0</v>
      </c>
      <c r="C10" s="103">
        <v>46412.0</v>
      </c>
      <c r="D10" s="53" t="s">
        <v>786</v>
      </c>
      <c r="E10" s="36" t="str">
        <f t="shared" ref="E10:O10" si="8">IF(OR($B10="",$C10=""),"TBC",IF(AND(E$3+6&gt;=$B10,E$3&lt;$C10),"HOME","AWAY"))</f>
        <v>AWAY</v>
      </c>
      <c r="F10" s="36" t="str">
        <f t="shared" si="8"/>
        <v>AWAY</v>
      </c>
      <c r="G10" s="36" t="str">
        <f t="shared" si="8"/>
        <v>HOME</v>
      </c>
      <c r="H10" s="36" t="str">
        <f t="shared" si="8"/>
        <v>HOME</v>
      </c>
      <c r="I10" s="36" t="str">
        <f t="shared" si="8"/>
        <v>HOME</v>
      </c>
      <c r="J10" s="36" t="str">
        <f t="shared" si="8"/>
        <v>HOME</v>
      </c>
      <c r="K10" s="36" t="str">
        <f t="shared" si="8"/>
        <v>HOME</v>
      </c>
      <c r="L10" s="36" t="str">
        <f t="shared" si="8"/>
        <v>HOME</v>
      </c>
      <c r="M10" s="36" t="str">
        <f t="shared" si="8"/>
        <v>HOME</v>
      </c>
      <c r="N10" s="36" t="str">
        <f t="shared" si="8"/>
        <v>AWAY</v>
      </c>
      <c r="O10" s="36" t="str">
        <f t="shared" si="8"/>
        <v>AWAY</v>
      </c>
    </row>
    <row r="11">
      <c r="A11" s="3" t="s">
        <v>792</v>
      </c>
      <c r="B11" s="120">
        <v>46376.0</v>
      </c>
      <c r="C11" s="103">
        <v>46401.0</v>
      </c>
      <c r="D11" s="53" t="s">
        <v>793</v>
      </c>
      <c r="E11" s="36" t="str">
        <f t="shared" ref="E11:O11" si="9">IF(OR($B11="",$C11=""),"TBC",IF(AND(E$3+6&gt;=$B11,E$3&lt;$C11),"HOME","AWAY"))</f>
        <v>AWAY</v>
      </c>
      <c r="F11" s="36" t="str">
        <f t="shared" si="9"/>
        <v>AWAY</v>
      </c>
      <c r="G11" s="36" t="str">
        <f t="shared" si="9"/>
        <v>AWAY</v>
      </c>
      <c r="H11" s="36" t="str">
        <f t="shared" si="9"/>
        <v>HOME</v>
      </c>
      <c r="I11" s="36" t="str">
        <f t="shared" si="9"/>
        <v>HOME</v>
      </c>
      <c r="J11" s="36" t="str">
        <f t="shared" si="9"/>
        <v>HOME</v>
      </c>
      <c r="K11" s="36" t="str">
        <f t="shared" si="9"/>
        <v>HOME</v>
      </c>
      <c r="L11" s="36" t="str">
        <f t="shared" si="9"/>
        <v>HOME</v>
      </c>
      <c r="M11" s="36" t="str">
        <f t="shared" si="9"/>
        <v>AWAY</v>
      </c>
      <c r="N11" s="36" t="str">
        <f t="shared" si="9"/>
        <v>AWAY</v>
      </c>
      <c r="O11" s="36" t="str">
        <f t="shared" si="9"/>
        <v>AWAY</v>
      </c>
    </row>
    <row r="12">
      <c r="A12" s="3" t="s">
        <v>805</v>
      </c>
      <c r="B12" s="120">
        <v>46367.0</v>
      </c>
      <c r="C12" s="103">
        <v>46398.0</v>
      </c>
      <c r="D12" s="53" t="s">
        <v>806</v>
      </c>
      <c r="E12" s="36" t="str">
        <f t="shared" ref="E12:O12" si="10">IF(OR($B12="",$C12=""),"TBC",IF(AND(E$3+6&gt;=$B12,E$3&lt;$C12),"HOME","AWAY"))</f>
        <v>AWAY</v>
      </c>
      <c r="F12" s="36" t="str">
        <f t="shared" si="10"/>
        <v>AWAY</v>
      </c>
      <c r="G12" s="36" t="str">
        <f t="shared" si="10"/>
        <v>HOME</v>
      </c>
      <c r="H12" s="36" t="str">
        <f t="shared" si="10"/>
        <v>HOME</v>
      </c>
      <c r="I12" s="36" t="str">
        <f t="shared" si="10"/>
        <v>HOME</v>
      </c>
      <c r="J12" s="36" t="str">
        <f t="shared" si="10"/>
        <v>HOME</v>
      </c>
      <c r="K12" s="36" t="str">
        <f t="shared" si="10"/>
        <v>HOME</v>
      </c>
      <c r="L12" s="36" t="str">
        <f t="shared" si="10"/>
        <v>AWAY</v>
      </c>
      <c r="M12" s="36" t="str">
        <f t="shared" si="10"/>
        <v>AWAY</v>
      </c>
      <c r="N12" s="36" t="str">
        <f t="shared" si="10"/>
        <v>AWAY</v>
      </c>
      <c r="O12" s="36" t="str">
        <f t="shared" si="10"/>
        <v>AWAY</v>
      </c>
    </row>
    <row r="13">
      <c r="A13" s="3" t="s">
        <v>807</v>
      </c>
      <c r="B13" s="120">
        <v>46367.0</v>
      </c>
      <c r="C13" s="103">
        <v>46398.0</v>
      </c>
      <c r="D13" s="53" t="s">
        <v>808</v>
      </c>
      <c r="E13" s="36" t="str">
        <f t="shared" ref="E13:O13" si="11">IF(OR($B13="",$C13=""),"TBC",IF(AND(E$3+6&gt;=$B13,E$3&lt;$C13),"HOME","AWAY"))</f>
        <v>AWAY</v>
      </c>
      <c r="F13" s="36" t="str">
        <f t="shared" si="11"/>
        <v>AWAY</v>
      </c>
      <c r="G13" s="36" t="str">
        <f t="shared" si="11"/>
        <v>HOME</v>
      </c>
      <c r="H13" s="36" t="str">
        <f t="shared" si="11"/>
        <v>HOME</v>
      </c>
      <c r="I13" s="36" t="str">
        <f t="shared" si="11"/>
        <v>HOME</v>
      </c>
      <c r="J13" s="36" t="str">
        <f t="shared" si="11"/>
        <v>HOME</v>
      </c>
      <c r="K13" s="36" t="str">
        <f t="shared" si="11"/>
        <v>HOME</v>
      </c>
      <c r="L13" s="36" t="str">
        <f t="shared" si="11"/>
        <v>AWAY</v>
      </c>
      <c r="M13" s="36" t="str">
        <f t="shared" si="11"/>
        <v>AWAY</v>
      </c>
      <c r="N13" s="36" t="str">
        <f t="shared" si="11"/>
        <v>AWAY</v>
      </c>
      <c r="O13" s="36" t="str">
        <f t="shared" si="11"/>
        <v>AWAY</v>
      </c>
    </row>
    <row r="14">
      <c r="A14" s="3" t="s">
        <v>809</v>
      </c>
      <c r="B14" s="120">
        <v>46377.0</v>
      </c>
      <c r="C14" s="103">
        <v>46398.0</v>
      </c>
      <c r="D14" s="53" t="s">
        <v>810</v>
      </c>
      <c r="E14" s="36" t="str">
        <f t="shared" ref="E14:O14" si="12">IF(OR($B14="",$C14=""),"TBC",IF(AND(E$3+6&gt;=$B14,E$3&lt;$C14),"HOME","AWAY"))</f>
        <v>AWAY</v>
      </c>
      <c r="F14" s="36" t="str">
        <f t="shared" si="12"/>
        <v>AWAY</v>
      </c>
      <c r="G14" s="36" t="str">
        <f t="shared" si="12"/>
        <v>AWAY</v>
      </c>
      <c r="H14" s="36" t="str">
        <f t="shared" si="12"/>
        <v>AWAY</v>
      </c>
      <c r="I14" s="36" t="str">
        <f t="shared" si="12"/>
        <v>HOME</v>
      </c>
      <c r="J14" s="36" t="str">
        <f t="shared" si="12"/>
        <v>HOME</v>
      </c>
      <c r="K14" s="36" t="str">
        <f t="shared" si="12"/>
        <v>HOME</v>
      </c>
      <c r="L14" s="36" t="str">
        <f t="shared" si="12"/>
        <v>AWAY</v>
      </c>
      <c r="M14" s="36" t="str">
        <f t="shared" si="12"/>
        <v>AWAY</v>
      </c>
      <c r="N14" s="36" t="str">
        <f t="shared" si="12"/>
        <v>AWAY</v>
      </c>
      <c r="O14" s="36" t="str">
        <f t="shared" si="12"/>
        <v>AWAY</v>
      </c>
    </row>
    <row r="15">
      <c r="A15" s="3" t="s">
        <v>811</v>
      </c>
      <c r="B15" s="120">
        <v>46368.0</v>
      </c>
      <c r="C15" s="103">
        <v>46398.0</v>
      </c>
      <c r="D15" s="53" t="s">
        <v>812</v>
      </c>
      <c r="E15" s="36" t="str">
        <f t="shared" ref="E15:O15" si="13">IF(OR($B15="",$C15=""),"TBC",IF(AND(E$3+6&gt;=$B15,E$3&lt;$C15),"HOME","AWAY"))</f>
        <v>AWAY</v>
      </c>
      <c r="F15" s="36" t="str">
        <f t="shared" si="13"/>
        <v>AWAY</v>
      </c>
      <c r="G15" s="36" t="str">
        <f t="shared" si="13"/>
        <v>HOME</v>
      </c>
      <c r="H15" s="36" t="str">
        <f t="shared" si="13"/>
        <v>HOME</v>
      </c>
      <c r="I15" s="36" t="str">
        <f t="shared" si="13"/>
        <v>HOME</v>
      </c>
      <c r="J15" s="36" t="str">
        <f t="shared" si="13"/>
        <v>HOME</v>
      </c>
      <c r="K15" s="36" t="str">
        <f t="shared" si="13"/>
        <v>HOME</v>
      </c>
      <c r="L15" s="36" t="str">
        <f t="shared" si="13"/>
        <v>AWAY</v>
      </c>
      <c r="M15" s="36" t="str">
        <f t="shared" si="13"/>
        <v>AWAY</v>
      </c>
      <c r="N15" s="36" t="str">
        <f t="shared" si="13"/>
        <v>AWAY</v>
      </c>
      <c r="O15" s="36" t="str">
        <f t="shared" si="13"/>
        <v>AWAY</v>
      </c>
    </row>
    <row r="16">
      <c r="A16" s="3" t="s">
        <v>813</v>
      </c>
      <c r="B16" s="120">
        <v>46367.0</v>
      </c>
      <c r="C16" s="103">
        <v>46398.0</v>
      </c>
      <c r="D16" s="53" t="s">
        <v>814</v>
      </c>
      <c r="E16" s="36" t="str">
        <f t="shared" ref="E16:O16" si="14">IF(OR($B16="",$C16=""),"TBC",IF(AND(E$3+6&gt;=$B16,E$3&lt;$C16),"HOME","AWAY"))</f>
        <v>AWAY</v>
      </c>
      <c r="F16" s="36" t="str">
        <f t="shared" si="14"/>
        <v>AWAY</v>
      </c>
      <c r="G16" s="36" t="str">
        <f t="shared" si="14"/>
        <v>HOME</v>
      </c>
      <c r="H16" s="36" t="str">
        <f t="shared" si="14"/>
        <v>HOME</v>
      </c>
      <c r="I16" s="36" t="str">
        <f t="shared" si="14"/>
        <v>HOME</v>
      </c>
      <c r="J16" s="36" t="str">
        <f t="shared" si="14"/>
        <v>HOME</v>
      </c>
      <c r="K16" s="36" t="str">
        <f t="shared" si="14"/>
        <v>HOME</v>
      </c>
      <c r="L16" s="36" t="str">
        <f t="shared" si="14"/>
        <v>AWAY</v>
      </c>
      <c r="M16" s="36" t="str">
        <f t="shared" si="14"/>
        <v>AWAY</v>
      </c>
      <c r="N16" s="36" t="str">
        <f t="shared" si="14"/>
        <v>AWAY</v>
      </c>
      <c r="O16" s="36" t="str">
        <f t="shared" si="14"/>
        <v>AWAY</v>
      </c>
    </row>
    <row r="17">
      <c r="A17" s="3" t="s">
        <v>815</v>
      </c>
      <c r="B17" s="120">
        <v>46367.0</v>
      </c>
      <c r="C17" s="103">
        <v>46391.0</v>
      </c>
      <c r="D17" s="53" t="s">
        <v>816</v>
      </c>
      <c r="E17" s="36" t="str">
        <f t="shared" ref="E17:O17" si="15">IF(OR($B17="",$C17=""),"TBC",IF(AND(E$3+6&gt;=$B17,E$3&lt;$C17),"HOME","AWAY"))</f>
        <v>AWAY</v>
      </c>
      <c r="F17" s="36" t="str">
        <f t="shared" si="15"/>
        <v>AWAY</v>
      </c>
      <c r="G17" s="36" t="str">
        <f t="shared" si="15"/>
        <v>HOME</v>
      </c>
      <c r="H17" s="36" t="str">
        <f t="shared" si="15"/>
        <v>HOME</v>
      </c>
      <c r="I17" s="36" t="str">
        <f t="shared" si="15"/>
        <v>HOME</v>
      </c>
      <c r="J17" s="36" t="str">
        <f t="shared" si="15"/>
        <v>HOME</v>
      </c>
      <c r="K17" s="36" t="str">
        <f t="shared" si="15"/>
        <v>AWAY</v>
      </c>
      <c r="L17" s="36" t="str">
        <f t="shared" si="15"/>
        <v>AWAY</v>
      </c>
      <c r="M17" s="36" t="str">
        <f t="shared" si="15"/>
        <v>AWAY</v>
      </c>
      <c r="N17" s="36" t="str">
        <f t="shared" si="15"/>
        <v>AWAY</v>
      </c>
      <c r="O17" s="36" t="str">
        <f t="shared" si="15"/>
        <v>AWAY</v>
      </c>
    </row>
    <row r="18">
      <c r="A18" s="3" t="s">
        <v>817</v>
      </c>
      <c r="B18" s="120">
        <v>46374.0</v>
      </c>
      <c r="C18" s="103">
        <v>46398.0</v>
      </c>
      <c r="D18" s="53" t="s">
        <v>818</v>
      </c>
      <c r="E18" s="36" t="str">
        <f t="shared" ref="E18:O18" si="16">IF(OR($B18="",$C18=""),"TBC",IF(AND(E$3+6&gt;=$B18,E$3&lt;$C18),"HOME","AWAY"))</f>
        <v>AWAY</v>
      </c>
      <c r="F18" s="36" t="str">
        <f t="shared" si="16"/>
        <v>AWAY</v>
      </c>
      <c r="G18" s="36" t="str">
        <f t="shared" si="16"/>
        <v>AWAY</v>
      </c>
      <c r="H18" s="36" t="str">
        <f t="shared" si="16"/>
        <v>HOME</v>
      </c>
      <c r="I18" s="36" t="str">
        <f t="shared" si="16"/>
        <v>HOME</v>
      </c>
      <c r="J18" s="36" t="str">
        <f t="shared" si="16"/>
        <v>HOME</v>
      </c>
      <c r="K18" s="36" t="str">
        <f t="shared" si="16"/>
        <v>HOME</v>
      </c>
      <c r="L18" s="36" t="str">
        <f t="shared" si="16"/>
        <v>AWAY</v>
      </c>
      <c r="M18" s="36" t="str">
        <f t="shared" si="16"/>
        <v>AWAY</v>
      </c>
      <c r="N18" s="36" t="str">
        <f t="shared" si="16"/>
        <v>AWAY</v>
      </c>
      <c r="O18" s="36" t="str">
        <f t="shared" si="16"/>
        <v>AWAY</v>
      </c>
    </row>
    <row r="19">
      <c r="A19" s="3" t="s">
        <v>819</v>
      </c>
      <c r="E19" s="36">
        <f t="shared" ref="E19:O19" si="17">COUNTIF(E$4:E$18,"HOME")</f>
        <v>0</v>
      </c>
      <c r="F19" s="36">
        <f t="shared" si="17"/>
        <v>0</v>
      </c>
      <c r="G19" s="36">
        <f t="shared" si="17"/>
        <v>9</v>
      </c>
      <c r="H19" s="36">
        <f t="shared" si="17"/>
        <v>14</v>
      </c>
      <c r="I19" s="36">
        <f t="shared" si="17"/>
        <v>15</v>
      </c>
      <c r="J19" s="36">
        <f t="shared" si="17"/>
        <v>15</v>
      </c>
      <c r="K19" s="36">
        <f t="shared" si="17"/>
        <v>13</v>
      </c>
      <c r="L19" s="36">
        <f t="shared" si="17"/>
        <v>3</v>
      </c>
      <c r="M19" s="36">
        <f t="shared" si="17"/>
        <v>2</v>
      </c>
      <c r="N19" s="36">
        <f t="shared" si="17"/>
        <v>0</v>
      </c>
      <c r="O19" s="36">
        <f t="shared" si="17"/>
        <v>0</v>
      </c>
    </row>
    <row r="20">
      <c r="A20" s="3" t="s">
        <v>820</v>
      </c>
      <c r="E20" s="3">
        <v>2.0</v>
      </c>
      <c r="F20" s="3">
        <v>3.0</v>
      </c>
      <c r="G20" s="3">
        <v>3.0</v>
      </c>
      <c r="H20" s="3">
        <v>3.0</v>
      </c>
      <c r="I20" s="3">
        <v>3.0</v>
      </c>
      <c r="J20" s="3">
        <v>2.0</v>
      </c>
      <c r="K20" s="3">
        <v>2.0</v>
      </c>
      <c r="L20" s="3">
        <v>2.0</v>
      </c>
      <c r="M20" s="3">
        <v>1.0</v>
      </c>
      <c r="N20" s="3">
        <v>1.0</v>
      </c>
      <c r="O20" s="3">
        <v>1.0</v>
      </c>
    </row>
    <row r="21">
      <c r="A21" s="3" t="s">
        <v>138</v>
      </c>
      <c r="E21" s="36" t="str">
        <f t="shared" ref="E21:O21" si="18">IF(E$20="","",IF(E$19&gt;=10,"CROWDED",IF(AND(E$19&lt;=6,E$20&gt;=2),"PRIME","OPEN")))</f>
        <v>PRIME</v>
      </c>
      <c r="F21" s="36" t="str">
        <f t="shared" si="18"/>
        <v>PRIME</v>
      </c>
      <c r="G21" s="36" t="str">
        <f t="shared" si="18"/>
        <v>OPEN</v>
      </c>
      <c r="H21" s="36" t="str">
        <f t="shared" si="18"/>
        <v>CROWDED</v>
      </c>
      <c r="I21" s="36" t="str">
        <f t="shared" si="18"/>
        <v>CROWDED</v>
      </c>
      <c r="J21" s="36" t="str">
        <f t="shared" si="18"/>
        <v>CROWDED</v>
      </c>
      <c r="K21" s="36" t="str">
        <f t="shared" si="18"/>
        <v>CROWDED</v>
      </c>
      <c r="L21" s="36" t="str">
        <f t="shared" si="18"/>
        <v>PRIME</v>
      </c>
      <c r="M21" s="36" t="str">
        <f t="shared" si="18"/>
        <v>OPEN</v>
      </c>
      <c r="N21" s="36" t="str">
        <f t="shared" si="18"/>
        <v>OPEN</v>
      </c>
      <c r="O21" s="36" t="str">
        <f t="shared" si="18"/>
        <v>OPEN</v>
      </c>
    </row>
  </sheetData>
  <conditionalFormatting sqref="E4:O18">
    <cfRule type="cellIs" dxfId="1" priority="1" operator="equal">
      <formula>"HOME"</formula>
    </cfRule>
  </conditionalFormatting>
  <conditionalFormatting sqref="E4:O18">
    <cfRule type="cellIs" dxfId="0" priority="2" operator="equal">
      <formula>"AWAY"</formula>
    </cfRule>
  </conditionalFormatting>
  <conditionalFormatting sqref="E4:O18">
    <cfRule type="cellIs" dxfId="4" priority="3" operator="equal">
      <formula>"TBC"</formula>
    </cfRule>
  </conditionalFormatting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</hyperlinks>
  <drawing r:id="rId16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3.63"/>
    <col customWidth="1" min="9" max="9" width="15.75"/>
    <col customWidth="1" min="10" max="10" width="23.75"/>
  </cols>
  <sheetData>
    <row r="1">
      <c r="C1" s="3">
        <v>2.0</v>
      </c>
      <c r="D1" s="3">
        <v>1.0</v>
      </c>
      <c r="E1" s="3">
        <v>1.0</v>
      </c>
    </row>
    <row r="3">
      <c r="A3" s="3" t="s">
        <v>468</v>
      </c>
      <c r="B3" s="3" t="s">
        <v>721</v>
      </c>
      <c r="C3" s="3" t="s">
        <v>722</v>
      </c>
      <c r="D3" s="3" t="s">
        <v>723</v>
      </c>
      <c r="E3" s="3" t="s">
        <v>725</v>
      </c>
      <c r="F3" s="3" t="s">
        <v>726</v>
      </c>
      <c r="G3" s="3" t="s">
        <v>10</v>
      </c>
      <c r="H3" s="3" t="s">
        <v>138</v>
      </c>
      <c r="I3" s="3" t="s">
        <v>727</v>
      </c>
      <c r="J3" s="3" t="s">
        <v>728</v>
      </c>
    </row>
    <row r="4">
      <c r="A4" s="3" t="s">
        <v>729</v>
      </c>
      <c r="B4" s="3" t="s">
        <v>730</v>
      </c>
      <c r="C4" s="116">
        <v>9.0</v>
      </c>
      <c r="D4" s="116">
        <v>6.0</v>
      </c>
      <c r="E4" s="116">
        <v>7.0</v>
      </c>
      <c r="F4" s="36">
        <f t="shared" ref="F4:F18" si="1">IF(A4="","",ROUND(C4*0.4+D4*0.2+E4*0.25+I4*0.15,2))</f>
        <v>7.9</v>
      </c>
      <c r="G4" s="36">
        <f t="shared" ref="G4:G18" si="2">IF($F4="","",RANK($F4,$F$4:$F$18,0))</f>
        <v>10</v>
      </c>
      <c r="H4" s="36" t="str">
        <f t="shared" ref="H4:H18" si="3">IF($G4="","",IF($G4&lt;=3,"GO",IF($G4&lt;=6,"WATCH","LATER")))</f>
        <v>LATER</v>
      </c>
      <c r="I4" s="3">
        <v>9.0</v>
      </c>
      <c r="J4" s="36" t="str">
        <f t="shared" ref="J4:J18" si="4">IF(G4="","",IF(G4&lt;=3,"APPLY FIRST",IF(G4&lt;=6,"APPLY SECOND","BACKUP")))</f>
        <v>BACKUP</v>
      </c>
    </row>
    <row r="5">
      <c r="A5" s="3" t="s">
        <v>733</v>
      </c>
      <c r="B5" s="3" t="s">
        <v>730</v>
      </c>
      <c r="C5" s="116">
        <v>9.0</v>
      </c>
      <c r="D5" s="116">
        <v>7.0</v>
      </c>
      <c r="E5" s="116">
        <v>7.0</v>
      </c>
      <c r="F5" s="36">
        <f t="shared" si="1"/>
        <v>8.1</v>
      </c>
      <c r="G5" s="36">
        <f t="shared" si="2"/>
        <v>7</v>
      </c>
      <c r="H5" s="36" t="str">
        <f t="shared" si="3"/>
        <v>LATER</v>
      </c>
      <c r="I5" s="3">
        <v>9.0</v>
      </c>
      <c r="J5" s="36" t="str">
        <f t="shared" si="4"/>
        <v>BACKUP</v>
      </c>
    </row>
    <row r="6">
      <c r="A6" s="3" t="s">
        <v>734</v>
      </c>
      <c r="B6" s="3" t="s">
        <v>735</v>
      </c>
      <c r="C6" s="116">
        <v>9.0</v>
      </c>
      <c r="D6" s="116">
        <v>7.0</v>
      </c>
      <c r="E6" s="116">
        <v>8.0</v>
      </c>
      <c r="F6" s="36">
        <f t="shared" si="1"/>
        <v>8.2</v>
      </c>
      <c r="G6" s="36">
        <f t="shared" si="2"/>
        <v>5</v>
      </c>
      <c r="H6" s="36" t="str">
        <f t="shared" si="3"/>
        <v>WATCH</v>
      </c>
      <c r="I6" s="3">
        <v>8.0</v>
      </c>
      <c r="J6" s="36" t="str">
        <f t="shared" si="4"/>
        <v>APPLY SECOND</v>
      </c>
    </row>
    <row r="7">
      <c r="A7" s="3" t="s">
        <v>736</v>
      </c>
      <c r="B7" s="3" t="s">
        <v>735</v>
      </c>
      <c r="C7" s="116">
        <v>10.0</v>
      </c>
      <c r="D7" s="116">
        <v>8.0</v>
      </c>
      <c r="E7" s="116">
        <v>7.0</v>
      </c>
      <c r="F7" s="36">
        <f t="shared" si="1"/>
        <v>8.7</v>
      </c>
      <c r="G7" s="36">
        <f t="shared" si="2"/>
        <v>1</v>
      </c>
      <c r="H7" s="36" t="str">
        <f t="shared" si="3"/>
        <v>GO</v>
      </c>
      <c r="I7" s="3">
        <v>9.0</v>
      </c>
      <c r="J7" s="36" t="str">
        <f t="shared" si="4"/>
        <v>APPLY FIRST</v>
      </c>
    </row>
    <row r="8">
      <c r="A8" s="3" t="s">
        <v>738</v>
      </c>
      <c r="B8" s="3" t="s">
        <v>730</v>
      </c>
      <c r="C8" s="116">
        <v>8.0</v>
      </c>
      <c r="D8" s="116">
        <v>6.0</v>
      </c>
      <c r="E8" s="116">
        <v>9.0</v>
      </c>
      <c r="F8" s="36">
        <f t="shared" si="1"/>
        <v>8.15</v>
      </c>
      <c r="G8" s="36">
        <f t="shared" si="2"/>
        <v>6</v>
      </c>
      <c r="H8" s="36" t="str">
        <f t="shared" si="3"/>
        <v>WATCH</v>
      </c>
      <c r="I8" s="3">
        <v>10.0</v>
      </c>
      <c r="J8" s="36" t="str">
        <f t="shared" si="4"/>
        <v>APPLY SECOND</v>
      </c>
    </row>
    <row r="9">
      <c r="A9" s="3" t="s">
        <v>740</v>
      </c>
      <c r="B9" s="3" t="s">
        <v>730</v>
      </c>
      <c r="C9" s="116">
        <v>9.0</v>
      </c>
      <c r="D9" s="116">
        <v>6.0</v>
      </c>
      <c r="E9" s="116">
        <v>6.0</v>
      </c>
      <c r="F9" s="36">
        <f t="shared" si="1"/>
        <v>7.65</v>
      </c>
      <c r="G9" s="36">
        <f t="shared" si="2"/>
        <v>11</v>
      </c>
      <c r="H9" s="36" t="str">
        <f t="shared" si="3"/>
        <v>LATER</v>
      </c>
      <c r="I9" s="3">
        <v>9.0</v>
      </c>
      <c r="J9" s="36" t="str">
        <f t="shared" si="4"/>
        <v>BACKUP</v>
      </c>
    </row>
    <row r="10">
      <c r="A10" s="3" t="s">
        <v>744</v>
      </c>
      <c r="B10" s="3" t="s">
        <v>735</v>
      </c>
      <c r="C10" s="116">
        <v>9.0</v>
      </c>
      <c r="D10" s="116">
        <v>7.0</v>
      </c>
      <c r="E10" s="116">
        <v>7.0</v>
      </c>
      <c r="F10" s="36">
        <f t="shared" si="1"/>
        <v>7.95</v>
      </c>
      <c r="G10" s="36">
        <f t="shared" si="2"/>
        <v>8</v>
      </c>
      <c r="H10" s="36" t="str">
        <f t="shared" si="3"/>
        <v>LATER</v>
      </c>
      <c r="I10" s="3">
        <v>8.0</v>
      </c>
      <c r="J10" s="36" t="str">
        <f t="shared" si="4"/>
        <v>BACKUP</v>
      </c>
    </row>
    <row r="11">
      <c r="A11" s="3" t="s">
        <v>746</v>
      </c>
      <c r="B11" s="3" t="s">
        <v>735</v>
      </c>
      <c r="C11" s="116">
        <v>9.0</v>
      </c>
      <c r="D11" s="116">
        <v>7.0</v>
      </c>
      <c r="E11" s="116">
        <v>8.0</v>
      </c>
      <c r="F11" s="36">
        <f t="shared" si="1"/>
        <v>8.35</v>
      </c>
      <c r="G11" s="36">
        <f t="shared" si="2"/>
        <v>3</v>
      </c>
      <c r="H11" s="36" t="str">
        <f t="shared" si="3"/>
        <v>GO</v>
      </c>
      <c r="I11" s="3">
        <v>9.0</v>
      </c>
      <c r="J11" s="36" t="str">
        <f t="shared" si="4"/>
        <v>APPLY FIRST</v>
      </c>
    </row>
    <row r="12">
      <c r="A12" s="3" t="s">
        <v>747</v>
      </c>
      <c r="B12" s="3" t="s">
        <v>730</v>
      </c>
      <c r="C12" s="116">
        <v>7.0</v>
      </c>
      <c r="D12" s="116">
        <v>7.0</v>
      </c>
      <c r="E12" s="116">
        <v>7.0</v>
      </c>
      <c r="F12" s="36">
        <f t="shared" si="1"/>
        <v>7.15</v>
      </c>
      <c r="G12" s="36">
        <f t="shared" si="2"/>
        <v>15</v>
      </c>
      <c r="H12" s="36" t="str">
        <f t="shared" si="3"/>
        <v>LATER</v>
      </c>
      <c r="I12" s="3">
        <v>8.0</v>
      </c>
      <c r="J12" s="36" t="str">
        <f t="shared" si="4"/>
        <v>BACKUP</v>
      </c>
    </row>
    <row r="13">
      <c r="A13" s="3" t="s">
        <v>748</v>
      </c>
      <c r="B13" s="3" t="s">
        <v>730</v>
      </c>
      <c r="C13" s="116">
        <v>5.0</v>
      </c>
      <c r="D13" s="116">
        <v>8.0</v>
      </c>
      <c r="E13" s="116">
        <v>9.0</v>
      </c>
      <c r="F13" s="36">
        <f t="shared" si="1"/>
        <v>7.35</v>
      </c>
      <c r="G13" s="36">
        <f t="shared" si="2"/>
        <v>14</v>
      </c>
      <c r="H13" s="36" t="str">
        <f t="shared" si="3"/>
        <v>LATER</v>
      </c>
      <c r="I13" s="3">
        <v>10.0</v>
      </c>
      <c r="J13" s="36" t="str">
        <f t="shared" si="4"/>
        <v>BACKUP</v>
      </c>
    </row>
    <row r="14">
      <c r="A14" s="3" t="s">
        <v>749</v>
      </c>
      <c r="B14" s="3" t="s">
        <v>735</v>
      </c>
      <c r="C14" s="116">
        <v>9.0</v>
      </c>
      <c r="D14" s="116">
        <v>7.0</v>
      </c>
      <c r="E14" s="116">
        <v>7.0</v>
      </c>
      <c r="F14" s="36">
        <f t="shared" si="1"/>
        <v>7.95</v>
      </c>
      <c r="G14" s="36">
        <f t="shared" si="2"/>
        <v>8</v>
      </c>
      <c r="H14" s="36" t="str">
        <f t="shared" si="3"/>
        <v>LATER</v>
      </c>
      <c r="I14" s="3">
        <v>8.0</v>
      </c>
      <c r="J14" s="36" t="str">
        <f t="shared" si="4"/>
        <v>BACKUP</v>
      </c>
    </row>
    <row r="15">
      <c r="A15" s="3" t="s">
        <v>751</v>
      </c>
      <c r="B15" s="3" t="s">
        <v>752</v>
      </c>
      <c r="C15" s="116">
        <v>8.0</v>
      </c>
      <c r="D15" s="116">
        <v>7.0</v>
      </c>
      <c r="E15" s="116">
        <v>7.0</v>
      </c>
      <c r="F15" s="36">
        <f t="shared" si="1"/>
        <v>7.4</v>
      </c>
      <c r="G15" s="36">
        <f t="shared" si="2"/>
        <v>13</v>
      </c>
      <c r="H15" s="36" t="str">
        <f t="shared" si="3"/>
        <v>LATER</v>
      </c>
      <c r="I15" s="3">
        <v>7.0</v>
      </c>
      <c r="J15" s="36" t="str">
        <f t="shared" si="4"/>
        <v>BACKUP</v>
      </c>
    </row>
    <row r="16">
      <c r="A16" s="3" t="s">
        <v>755</v>
      </c>
      <c r="B16" s="3" t="s">
        <v>735</v>
      </c>
      <c r="C16" s="116">
        <v>10.0</v>
      </c>
      <c r="D16" s="116">
        <v>8.0</v>
      </c>
      <c r="E16" s="116">
        <v>6.0</v>
      </c>
      <c r="F16" s="36">
        <f t="shared" si="1"/>
        <v>8.6</v>
      </c>
      <c r="G16" s="36">
        <f t="shared" si="2"/>
        <v>2</v>
      </c>
      <c r="H16" s="36" t="str">
        <f t="shared" si="3"/>
        <v>GO</v>
      </c>
      <c r="I16" s="3">
        <v>10.0</v>
      </c>
      <c r="J16" s="36" t="str">
        <f t="shared" si="4"/>
        <v>APPLY FIRST</v>
      </c>
    </row>
    <row r="17">
      <c r="A17" s="3" t="s">
        <v>756</v>
      </c>
      <c r="B17" s="3" t="s">
        <v>730</v>
      </c>
      <c r="C17" s="116">
        <v>9.0</v>
      </c>
      <c r="D17" s="116">
        <v>7.0</v>
      </c>
      <c r="E17" s="116">
        <v>8.0</v>
      </c>
      <c r="F17" s="36">
        <f t="shared" si="1"/>
        <v>8.35</v>
      </c>
      <c r="G17" s="36">
        <f t="shared" si="2"/>
        <v>3</v>
      </c>
      <c r="H17" s="36" t="str">
        <f t="shared" si="3"/>
        <v>GO</v>
      </c>
      <c r="I17" s="3">
        <v>9.0</v>
      </c>
      <c r="J17" s="36" t="str">
        <f t="shared" si="4"/>
        <v>APPLY FIRST</v>
      </c>
    </row>
    <row r="18">
      <c r="A18" s="3" t="s">
        <v>757</v>
      </c>
      <c r="B18" s="3" t="s">
        <v>730</v>
      </c>
      <c r="C18" s="116">
        <v>8.0</v>
      </c>
      <c r="D18" s="116">
        <v>7.0</v>
      </c>
      <c r="E18" s="116">
        <v>6.0</v>
      </c>
      <c r="F18" s="36">
        <f t="shared" si="1"/>
        <v>7.45</v>
      </c>
      <c r="G18" s="36">
        <f t="shared" si="2"/>
        <v>12</v>
      </c>
      <c r="H18" s="36" t="str">
        <f t="shared" si="3"/>
        <v>LATER</v>
      </c>
      <c r="I18" s="3">
        <v>9.0</v>
      </c>
      <c r="J18" s="36" t="str">
        <f t="shared" si="4"/>
        <v>BACKUP</v>
      </c>
    </row>
    <row r="22">
      <c r="A22" s="3" t="s">
        <v>758</v>
      </c>
    </row>
    <row r="23">
      <c r="A23" s="3" t="s">
        <v>759</v>
      </c>
      <c r="B23" s="36" t="str">
        <f t="array" ref="B23">INDEX(A4:A18,MATCH(MAX(F4:F18),F4:F18,0))</f>
        <v>Event bar staff</v>
      </c>
    </row>
    <row r="24">
      <c r="A24" s="3" t="s">
        <v>761</v>
      </c>
      <c r="B24" s="36" t="str">
        <f t="array" ref="B24">INDEX(A4:A18,MATCH(MAX(D4:D18),D4:D18,0))</f>
        <v>Event bar staff</v>
      </c>
    </row>
    <row r="25">
      <c r="A25" s="3" t="s">
        <v>762</v>
      </c>
      <c r="B25" s="36" t="str">
        <f t="array" ref="B25">INDEX(A4:A18,MATCH(MAX(C4:C18),C4:C18,0))</f>
        <v>Event bar staff</v>
      </c>
    </row>
    <row r="26">
      <c r="A26" s="3" t="s">
        <v>763</v>
      </c>
      <c r="B26" s="36" t="str">
        <f t="array" ref="B26">INDEX(A4:A18,MATCH(MAX(E4:E18),E4:E18,0))</f>
        <v>Christmas retail assistant</v>
      </c>
    </row>
    <row r="27">
      <c r="A27" s="3" t="s">
        <v>766</v>
      </c>
      <c r="B27" s="36" t="str">
        <f t="array" ref="B27">INDEX(A4:A18,MATCH(MAX(I4:I18),I4:I18,0))</f>
        <v>Christmas retail assistant</v>
      </c>
    </row>
    <row r="43">
      <c r="C43" s="114"/>
      <c r="D43" s="113"/>
      <c r="E43" s="113"/>
      <c r="F43" s="114"/>
      <c r="G43" s="114"/>
      <c r="H43" s="114"/>
    </row>
    <row r="44">
      <c r="C44" s="114"/>
      <c r="F44" s="116"/>
      <c r="G44" s="116"/>
      <c r="H44" s="116"/>
    </row>
    <row r="45">
      <c r="C45" s="114"/>
      <c r="F45" s="116"/>
      <c r="G45" s="116"/>
      <c r="H45" s="116"/>
    </row>
    <row r="46">
      <c r="C46" s="114"/>
      <c r="F46" s="116"/>
      <c r="G46" s="116"/>
      <c r="H46" s="116"/>
    </row>
    <row r="47">
      <c r="C47" s="114"/>
      <c r="F47" s="116"/>
      <c r="G47" s="116"/>
      <c r="H47" s="116"/>
    </row>
    <row r="48">
      <c r="C48" s="114"/>
      <c r="F48" s="116"/>
      <c r="G48" s="116"/>
      <c r="H48" s="116"/>
    </row>
    <row r="49">
      <c r="C49" s="114"/>
      <c r="F49" s="116"/>
      <c r="G49" s="116"/>
      <c r="H49" s="116"/>
    </row>
    <row r="50">
      <c r="C50" s="114"/>
      <c r="F50" s="116"/>
      <c r="G50" s="116"/>
      <c r="H50" s="116"/>
    </row>
    <row r="51">
      <c r="C51" s="114"/>
      <c r="F51" s="116"/>
      <c r="G51" s="116"/>
      <c r="H51" s="116"/>
    </row>
    <row r="52">
      <c r="C52" s="114"/>
      <c r="F52" s="116"/>
      <c r="G52" s="116"/>
      <c r="H52" s="116"/>
    </row>
    <row r="53">
      <c r="C53" s="114"/>
      <c r="F53" s="116"/>
      <c r="G53" s="116"/>
      <c r="H53" s="116"/>
    </row>
    <row r="54">
      <c r="C54" s="114"/>
      <c r="F54" s="116"/>
      <c r="G54" s="116"/>
      <c r="H54" s="116"/>
    </row>
    <row r="55">
      <c r="C55" s="114"/>
      <c r="F55" s="116"/>
      <c r="G55" s="116"/>
      <c r="H55" s="116"/>
    </row>
    <row r="56">
      <c r="C56" s="114"/>
      <c r="F56" s="116"/>
      <c r="G56" s="116"/>
      <c r="H56" s="116"/>
    </row>
    <row r="57">
      <c r="C57" s="114"/>
      <c r="F57" s="116"/>
      <c r="G57" s="116"/>
      <c r="H57" s="116"/>
    </row>
    <row r="58">
      <c r="C58" s="114"/>
      <c r="F58" s="116"/>
      <c r="G58" s="116"/>
      <c r="H58" s="116"/>
    </row>
  </sheetData>
  <conditionalFormatting sqref="H1:H1000">
    <cfRule type="cellIs" dxfId="0" priority="1" operator="equal">
      <formula>"GO"</formula>
    </cfRule>
  </conditionalFormatting>
  <conditionalFormatting sqref="H1:H1000">
    <cfRule type="cellIs" dxfId="4" priority="2" operator="equal">
      <formula>"WATCH"</formula>
    </cfRule>
  </conditionalFormatting>
  <conditionalFormatting sqref="H1:H1000">
    <cfRule type="cellIs" dxfId="5" priority="3" operator="equal">
      <formula>"LATER"</formula>
    </cfRule>
  </conditionalFormatting>
  <conditionalFormatting sqref="J1:J1000">
    <cfRule type="cellIs" dxfId="6" priority="4" operator="equal">
      <formula>"APPLY FIRST"</formula>
    </cfRule>
  </conditionalFormatting>
  <conditionalFormatting sqref="J1:J1000">
    <cfRule type="cellIs" dxfId="4" priority="5" operator="equal">
      <formula>"APPLY SECOND"</formula>
    </cfRule>
  </conditionalFormatting>
  <conditionalFormatting sqref="J1:J1000">
    <cfRule type="cellIs" dxfId="5" priority="6" operator="equal">
      <formula>"BACKUP"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775</v>
      </c>
    </row>
    <row r="3">
      <c r="A3" s="3" t="s">
        <v>776</v>
      </c>
      <c r="B3" s="3" t="s">
        <v>777</v>
      </c>
      <c r="C3" s="3" t="s">
        <v>721</v>
      </c>
      <c r="D3" s="3" t="s">
        <v>778</v>
      </c>
      <c r="E3" s="3" t="s">
        <v>779</v>
      </c>
      <c r="F3" s="3" t="s">
        <v>780</v>
      </c>
      <c r="G3" s="3" t="s">
        <v>781</v>
      </c>
      <c r="H3" s="3" t="s">
        <v>783</v>
      </c>
      <c r="I3" s="3" t="s">
        <v>11</v>
      </c>
      <c r="J3" s="3" t="s">
        <v>784</v>
      </c>
      <c r="K3" s="3" t="s">
        <v>785</v>
      </c>
      <c r="L3" s="3" t="s">
        <v>787</v>
      </c>
      <c r="M3" s="3" t="s">
        <v>788</v>
      </c>
      <c r="N3" s="3" t="s">
        <v>789</v>
      </c>
    </row>
    <row r="4">
      <c r="A4" s="3" t="s">
        <v>735</v>
      </c>
      <c r="C4" s="3" t="s">
        <v>790</v>
      </c>
      <c r="E4" s="36"/>
      <c r="F4" s="36"/>
      <c r="I4" s="3" t="s">
        <v>791</v>
      </c>
      <c r="L4" s="36"/>
    </row>
    <row r="5">
      <c r="A5" s="3" t="s">
        <v>752</v>
      </c>
      <c r="C5" s="3" t="s">
        <v>790</v>
      </c>
      <c r="E5" s="36"/>
      <c r="F5" s="36"/>
      <c r="I5" s="36"/>
      <c r="L5" s="36"/>
    </row>
    <row r="6">
      <c r="E6" s="36"/>
      <c r="F6" s="36"/>
      <c r="I6" s="36"/>
      <c r="L6" s="36"/>
    </row>
    <row r="7">
      <c r="E7" s="36"/>
      <c r="F7" s="36"/>
      <c r="I7" s="36"/>
      <c r="L7" s="36"/>
    </row>
    <row r="8">
      <c r="E8" s="36"/>
      <c r="F8" s="36"/>
      <c r="I8" s="36"/>
      <c r="L8" s="36"/>
    </row>
    <row r="9">
      <c r="E9" s="36"/>
      <c r="F9" s="36"/>
      <c r="I9" s="36"/>
      <c r="L9" s="36"/>
    </row>
    <row r="10">
      <c r="E10" s="36"/>
      <c r="F10" s="36"/>
      <c r="I10" s="36"/>
      <c r="L10" s="36"/>
    </row>
    <row r="11">
      <c r="E11" s="36"/>
      <c r="F11" s="36"/>
      <c r="I11" s="36"/>
      <c r="L11" s="36"/>
    </row>
    <row r="12">
      <c r="E12" s="36"/>
      <c r="F12" s="36"/>
      <c r="I12" s="36"/>
      <c r="L12" s="36"/>
    </row>
    <row r="13">
      <c r="E13" s="36"/>
      <c r="F13" s="36"/>
      <c r="I13" s="36"/>
      <c r="L13" s="36"/>
    </row>
    <row r="14">
      <c r="E14" s="36"/>
      <c r="F14" s="36"/>
      <c r="I14" s="36"/>
      <c r="L14" s="36"/>
    </row>
    <row r="15">
      <c r="E15" s="36"/>
      <c r="F15" s="36"/>
      <c r="I15" s="36"/>
      <c r="L15" s="36"/>
    </row>
    <row r="16">
      <c r="E16" s="36"/>
      <c r="F16" s="36"/>
      <c r="I16" s="36"/>
      <c r="L16" s="36"/>
    </row>
    <row r="17">
      <c r="E17" s="36"/>
      <c r="F17" s="36"/>
      <c r="I17" s="36"/>
      <c r="L17" s="36"/>
    </row>
    <row r="18">
      <c r="E18" s="36"/>
      <c r="F18" s="36"/>
      <c r="I18" s="36"/>
      <c r="L18" s="36"/>
    </row>
    <row r="19">
      <c r="E19" s="36"/>
      <c r="F19" s="36"/>
      <c r="I19" s="36"/>
      <c r="L19" s="36"/>
    </row>
    <row r="20">
      <c r="E20" s="36"/>
      <c r="F20" s="36"/>
      <c r="I20" s="36"/>
      <c r="L20" s="36"/>
    </row>
    <row r="21">
      <c r="E21" s="36"/>
      <c r="F21" s="36"/>
      <c r="I21" s="36"/>
      <c r="L21" s="36"/>
    </row>
    <row r="22">
      <c r="E22" s="36"/>
      <c r="F22" s="36"/>
      <c r="I22" s="36"/>
      <c r="L22" s="36"/>
    </row>
    <row r="23">
      <c r="C23" s="121"/>
      <c r="E23" s="36"/>
      <c r="F23" s="36"/>
      <c r="I23" s="36"/>
      <c r="L23" s="36"/>
    </row>
    <row r="24">
      <c r="E24" s="36"/>
      <c r="F24" s="36"/>
      <c r="I24" s="36"/>
      <c r="L24" s="36"/>
    </row>
    <row r="25">
      <c r="E25" s="36"/>
      <c r="F25" s="36"/>
      <c r="I25" s="36"/>
      <c r="L25" s="36"/>
    </row>
    <row r="26">
      <c r="E26" s="36"/>
      <c r="F26" s="36"/>
      <c r="I26" s="36"/>
      <c r="L26" s="36"/>
    </row>
    <row r="27">
      <c r="E27" s="36"/>
      <c r="F27" s="36"/>
      <c r="I27" s="36"/>
      <c r="L27" s="36"/>
    </row>
    <row r="28">
      <c r="E28" s="36"/>
      <c r="F28" s="36"/>
      <c r="I28" s="36"/>
      <c r="L28" s="36"/>
    </row>
    <row r="29">
      <c r="E29" s="36"/>
      <c r="F29" s="36"/>
      <c r="I29" s="36"/>
      <c r="L29" s="36"/>
    </row>
    <row r="30">
      <c r="E30" s="36"/>
      <c r="F30" s="36"/>
      <c r="I30" s="36"/>
      <c r="L30" s="36"/>
    </row>
    <row r="31">
      <c r="E31" s="36"/>
      <c r="F31" s="36"/>
      <c r="I31" s="36"/>
      <c r="L31" s="36"/>
    </row>
    <row r="32">
      <c r="E32" s="36"/>
      <c r="F32" s="36"/>
      <c r="I32" s="36"/>
      <c r="L32" s="36"/>
    </row>
    <row r="33">
      <c r="E33" s="36"/>
      <c r="F33" s="36"/>
      <c r="I33" s="36"/>
      <c r="L33" s="36"/>
    </row>
    <row r="34">
      <c r="E34" s="36"/>
      <c r="F34" s="36"/>
      <c r="I34" s="36"/>
      <c r="L34" s="36"/>
    </row>
    <row r="35">
      <c r="E35" s="36"/>
      <c r="F35" s="36"/>
      <c r="I35" s="36"/>
      <c r="L35" s="36"/>
    </row>
    <row r="36">
      <c r="E36" s="36"/>
      <c r="F36" s="36"/>
      <c r="I36" s="36"/>
      <c r="L36" s="36"/>
    </row>
    <row r="37">
      <c r="E37" s="36"/>
      <c r="F37" s="36"/>
      <c r="I37" s="36"/>
      <c r="L37" s="36"/>
    </row>
    <row r="38">
      <c r="E38" s="36"/>
      <c r="F38" s="36"/>
      <c r="I38" s="36"/>
      <c r="L38" s="36"/>
    </row>
    <row r="39">
      <c r="E39" s="36"/>
      <c r="F39" s="36"/>
      <c r="I39" s="36"/>
      <c r="L39" s="36"/>
    </row>
    <row r="40">
      <c r="E40" s="36"/>
      <c r="F40" s="36"/>
      <c r="I40" s="36"/>
      <c r="L40" s="36"/>
    </row>
    <row r="41">
      <c r="E41" s="36"/>
      <c r="F41" s="36"/>
      <c r="I41" s="36"/>
      <c r="L41" s="36"/>
    </row>
    <row r="42">
      <c r="E42" s="36"/>
      <c r="F42" s="36"/>
      <c r="I42" s="36"/>
      <c r="L42" s="36"/>
    </row>
    <row r="43">
      <c r="E43" s="36"/>
      <c r="F43" s="36"/>
      <c r="I43" s="36"/>
      <c r="L43" s="36"/>
    </row>
    <row r="44">
      <c r="E44" s="36"/>
      <c r="F44" s="36"/>
      <c r="I44" s="36"/>
      <c r="L44" s="36"/>
    </row>
    <row r="45">
      <c r="E45" s="36"/>
      <c r="F45" s="36"/>
      <c r="I45" s="36"/>
      <c r="L45" s="36"/>
    </row>
    <row r="46">
      <c r="E46" s="36"/>
      <c r="F46" s="36"/>
      <c r="I46" s="36"/>
      <c r="L46" s="36"/>
    </row>
    <row r="47">
      <c r="E47" s="36"/>
      <c r="F47" s="36"/>
      <c r="I47" s="36"/>
      <c r="L47" s="36"/>
    </row>
    <row r="48">
      <c r="E48" s="36"/>
      <c r="F48" s="36"/>
      <c r="I48" s="36"/>
      <c r="L48" s="36"/>
    </row>
    <row r="49">
      <c r="E49" s="36"/>
      <c r="F49" s="36"/>
      <c r="I49" s="36"/>
      <c r="L49" s="36"/>
    </row>
    <row r="50">
      <c r="E50" s="36"/>
      <c r="F50" s="36"/>
      <c r="I50" s="36"/>
      <c r="L50" s="36"/>
    </row>
    <row r="51">
      <c r="E51" s="36"/>
      <c r="F51" s="36"/>
      <c r="I51" s="36"/>
      <c r="L51" s="36"/>
    </row>
    <row r="52">
      <c r="E52" s="36"/>
      <c r="F52" s="36"/>
      <c r="I52" s="36"/>
      <c r="L52" s="36"/>
    </row>
    <row r="53">
      <c r="E53" s="36"/>
      <c r="F53" s="36"/>
      <c r="I53" s="36"/>
      <c r="L53" s="36"/>
    </row>
    <row r="54">
      <c r="E54" s="36"/>
      <c r="F54" s="36"/>
      <c r="I54" s="36"/>
      <c r="L54" s="36"/>
    </row>
    <row r="55">
      <c r="E55" s="36"/>
      <c r="F55" s="36"/>
      <c r="I55" s="36"/>
      <c r="L55" s="36"/>
    </row>
    <row r="56">
      <c r="E56" s="36"/>
      <c r="F56" s="36"/>
      <c r="I56" s="36"/>
      <c r="L56" s="36"/>
    </row>
    <row r="57">
      <c r="E57" s="36"/>
      <c r="F57" s="36"/>
      <c r="I57" s="36"/>
      <c r="L57" s="36"/>
    </row>
    <row r="58">
      <c r="E58" s="36"/>
      <c r="F58" s="36"/>
      <c r="I58" s="36"/>
      <c r="L58" s="36"/>
    </row>
    <row r="59">
      <c r="E59" s="36"/>
      <c r="F59" s="36"/>
      <c r="I59" s="36"/>
      <c r="L59" s="36"/>
    </row>
    <row r="60">
      <c r="E60" s="36"/>
      <c r="F60" s="36"/>
      <c r="I60" s="36"/>
      <c r="L60" s="36"/>
    </row>
    <row r="61">
      <c r="E61" s="36"/>
      <c r="F61" s="36"/>
      <c r="I61" s="36"/>
      <c r="L61" s="36"/>
    </row>
    <row r="62">
      <c r="E62" s="36"/>
      <c r="F62" s="36"/>
      <c r="I62" s="36"/>
      <c r="L62" s="36"/>
    </row>
    <row r="63">
      <c r="E63" s="36"/>
      <c r="F63" s="36"/>
      <c r="I63" s="36"/>
      <c r="L63" s="36"/>
    </row>
    <row r="64">
      <c r="E64" s="36"/>
      <c r="F64" s="36"/>
      <c r="I64" s="36"/>
      <c r="L64" s="36"/>
    </row>
    <row r="65">
      <c r="E65" s="36"/>
      <c r="F65" s="36"/>
      <c r="I65" s="36"/>
      <c r="L65" s="36"/>
    </row>
    <row r="66">
      <c r="E66" s="36"/>
      <c r="F66" s="36"/>
      <c r="I66" s="36"/>
      <c r="L66" s="36"/>
    </row>
    <row r="67">
      <c r="E67" s="36"/>
      <c r="F67" s="36"/>
      <c r="I67" s="36"/>
      <c r="L67" s="36"/>
    </row>
    <row r="68">
      <c r="E68" s="36"/>
      <c r="F68" s="36"/>
      <c r="I68" s="36"/>
      <c r="L68" s="36"/>
    </row>
    <row r="69">
      <c r="E69" s="36"/>
      <c r="F69" s="36"/>
      <c r="I69" s="36"/>
      <c r="L69" s="36"/>
    </row>
    <row r="70">
      <c r="E70" s="36"/>
      <c r="F70" s="36"/>
      <c r="I70" s="36"/>
      <c r="L70" s="36"/>
    </row>
    <row r="71">
      <c r="E71" s="36"/>
      <c r="F71" s="36"/>
      <c r="I71" s="36"/>
      <c r="L71" s="36"/>
    </row>
    <row r="72">
      <c r="E72" s="36"/>
      <c r="F72" s="36"/>
      <c r="I72" s="36"/>
      <c r="L72" s="36"/>
    </row>
    <row r="73">
      <c r="E73" s="36"/>
      <c r="F73" s="36"/>
      <c r="I73" s="36"/>
      <c r="L73" s="36"/>
    </row>
    <row r="74">
      <c r="E74" s="36"/>
      <c r="F74" s="36"/>
      <c r="I74" s="36"/>
      <c r="L74" s="36"/>
    </row>
    <row r="75">
      <c r="E75" s="36"/>
      <c r="F75" s="36"/>
      <c r="I75" s="36"/>
      <c r="L75" s="36"/>
    </row>
    <row r="76">
      <c r="E76" s="36"/>
      <c r="F76" s="36"/>
      <c r="I76" s="36"/>
      <c r="L76" s="36"/>
    </row>
    <row r="77">
      <c r="E77" s="36"/>
      <c r="F77" s="36"/>
      <c r="I77" s="36"/>
      <c r="L77" s="36"/>
    </row>
    <row r="78">
      <c r="E78" s="36"/>
      <c r="F78" s="36"/>
      <c r="I78" s="36"/>
      <c r="L78" s="36"/>
    </row>
    <row r="79">
      <c r="E79" s="36"/>
      <c r="F79" s="36"/>
      <c r="I79" s="36"/>
      <c r="L79" s="36"/>
    </row>
    <row r="80">
      <c r="E80" s="36"/>
      <c r="F80" s="36"/>
      <c r="I80" s="36"/>
      <c r="L80" s="36"/>
    </row>
    <row r="81">
      <c r="E81" s="36"/>
      <c r="F81" s="36"/>
      <c r="I81" s="36"/>
      <c r="L81" s="36"/>
    </row>
    <row r="82">
      <c r="E82" s="36"/>
      <c r="F82" s="36"/>
      <c r="I82" s="36"/>
      <c r="L82" s="36"/>
    </row>
    <row r="83">
      <c r="E83" s="36"/>
      <c r="F83" s="36"/>
      <c r="I83" s="36"/>
      <c r="L83" s="36"/>
    </row>
    <row r="84">
      <c r="E84" s="36"/>
      <c r="F84" s="36"/>
      <c r="I84" s="36"/>
      <c r="L84" s="36"/>
    </row>
    <row r="85">
      <c r="E85" s="36"/>
      <c r="F85" s="36"/>
      <c r="I85" s="36"/>
      <c r="L85" s="36"/>
    </row>
    <row r="86">
      <c r="E86" s="36"/>
      <c r="F86" s="36"/>
      <c r="I86" s="36"/>
      <c r="L86" s="36"/>
    </row>
    <row r="87">
      <c r="E87" s="36"/>
      <c r="F87" s="36"/>
      <c r="I87" s="36"/>
      <c r="L87" s="36"/>
    </row>
    <row r="88">
      <c r="E88" s="36"/>
      <c r="F88" s="36"/>
      <c r="I88" s="36"/>
      <c r="L88" s="36"/>
    </row>
    <row r="89">
      <c r="E89" s="36"/>
      <c r="F89" s="36"/>
      <c r="I89" s="36"/>
      <c r="L89" s="36"/>
    </row>
    <row r="90">
      <c r="E90" s="36"/>
      <c r="F90" s="36"/>
      <c r="I90" s="36"/>
      <c r="L90" s="36"/>
    </row>
    <row r="91">
      <c r="E91" s="36"/>
      <c r="F91" s="36"/>
      <c r="I91" s="36"/>
      <c r="L91" s="36"/>
    </row>
    <row r="92">
      <c r="E92" s="36"/>
      <c r="F92" s="36"/>
      <c r="I92" s="36"/>
      <c r="L92" s="36"/>
    </row>
    <row r="93">
      <c r="E93" s="36"/>
      <c r="F93" s="36"/>
      <c r="I93" s="36"/>
      <c r="L93" s="36"/>
    </row>
    <row r="94">
      <c r="E94" s="36"/>
      <c r="F94" s="36"/>
      <c r="I94" s="36"/>
      <c r="L94" s="36"/>
    </row>
    <row r="95">
      <c r="E95" s="36"/>
      <c r="F95" s="36"/>
      <c r="I95" s="36"/>
      <c r="L95" s="36"/>
    </row>
    <row r="96">
      <c r="E96" s="36"/>
      <c r="F96" s="36"/>
      <c r="I96" s="36"/>
      <c r="L96" s="36"/>
    </row>
    <row r="97">
      <c r="E97" s="36"/>
      <c r="F97" s="36"/>
      <c r="I97" s="36"/>
      <c r="L97" s="36"/>
    </row>
    <row r="98">
      <c r="E98" s="36"/>
      <c r="F98" s="36"/>
      <c r="I98" s="36"/>
      <c r="L98" s="36"/>
    </row>
    <row r="99">
      <c r="E99" s="36"/>
      <c r="F99" s="36"/>
      <c r="I99" s="36"/>
      <c r="L99" s="36"/>
    </row>
    <row r="100">
      <c r="E100" s="36"/>
      <c r="F100" s="36"/>
      <c r="I100" s="36"/>
      <c r="L100" s="36"/>
    </row>
    <row r="101">
      <c r="L101" s="36"/>
    </row>
  </sheetData>
  <conditionalFormatting sqref="I1:I1000">
    <cfRule type="cellIs" dxfId="0" priority="1" operator="equal">
      <formula>"READY"</formula>
    </cfRule>
  </conditionalFormatting>
  <conditionalFormatting sqref="I1:I1000">
    <cfRule type="cellIs" dxfId="0" priority="2" operator="equal">
      <formula>"READY"</formula>
    </cfRule>
  </conditionalFormatting>
  <conditionalFormatting sqref="I1:I1000">
    <cfRule type="cellIs" dxfId="0" priority="3" operator="equal">
      <formula>"READY"</formula>
    </cfRule>
  </conditionalFormatting>
  <conditionalFormatting sqref="I1:I1000">
    <cfRule type="cellIs" dxfId="0" priority="4" operator="equal">
      <formula>"READY"</formula>
    </cfRule>
  </conditionalFormatting>
  <dataValidations>
    <dataValidation type="list" allowBlank="1" showErrorMessage="1" sqref="E4:F100 L4:L101">
      <formula1>"YES,NO"</formula1>
    </dataValidation>
    <dataValidation type="list" allowBlank="1" showErrorMessage="1" sqref="I4:I100">
      <formula1>"READY,APPLIED,CHASE,INTERVIEW,BOOKED,REJECTED"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794</v>
      </c>
      <c r="L1" s="3" t="s">
        <v>795</v>
      </c>
    </row>
    <row r="3">
      <c r="A3" s="3" t="s">
        <v>86</v>
      </c>
      <c r="B3" s="3" t="s">
        <v>796</v>
      </c>
      <c r="C3" s="3" t="s">
        <v>777</v>
      </c>
      <c r="D3" s="3" t="s">
        <v>797</v>
      </c>
      <c r="E3" s="3" t="s">
        <v>133</v>
      </c>
      <c r="F3" s="3" t="s">
        <v>798</v>
      </c>
      <c r="G3" s="3" t="s">
        <v>799</v>
      </c>
      <c r="H3" s="3" t="s">
        <v>800</v>
      </c>
      <c r="I3" s="3" t="s">
        <v>801</v>
      </c>
      <c r="J3" s="3" t="s">
        <v>789</v>
      </c>
      <c r="L3" s="3" t="s">
        <v>802</v>
      </c>
      <c r="M3" s="36">
        <f>COUNTIF(I4:I100,"COMPLETED")</f>
        <v>0</v>
      </c>
    </row>
    <row r="4">
      <c r="G4" s="36" t="str">
        <f t="shared" ref="G4:G102" si="1">IF(OR(E4="",F4=""),"",E4*F4)</f>
        <v/>
      </c>
      <c r="I4" s="36"/>
      <c r="L4" s="3" t="s">
        <v>803</v>
      </c>
      <c r="M4" s="36">
        <f>SUM(E4:E100)</f>
        <v>0</v>
      </c>
    </row>
    <row r="5">
      <c r="G5" s="36" t="str">
        <f t="shared" si="1"/>
        <v/>
      </c>
      <c r="I5" s="36"/>
      <c r="L5" s="3" t="s">
        <v>799</v>
      </c>
      <c r="M5" s="36">
        <f>SUM(G4:G100)</f>
        <v>0</v>
      </c>
    </row>
    <row r="6">
      <c r="G6" s="36" t="str">
        <f t="shared" si="1"/>
        <v/>
      </c>
      <c r="I6" s="36"/>
      <c r="L6" s="3" t="s">
        <v>804</v>
      </c>
      <c r="M6" s="36">
        <f>COUNTIF(I4:I100,"MISSED")</f>
        <v>0</v>
      </c>
    </row>
    <row r="7">
      <c r="G7" s="36" t="str">
        <f t="shared" si="1"/>
        <v/>
      </c>
      <c r="I7" s="36"/>
    </row>
    <row r="8">
      <c r="G8" s="36" t="str">
        <f t="shared" si="1"/>
        <v/>
      </c>
      <c r="I8" s="36"/>
    </row>
    <row r="9">
      <c r="G9" s="36" t="str">
        <f t="shared" si="1"/>
        <v/>
      </c>
      <c r="I9" s="36"/>
    </row>
    <row r="10">
      <c r="G10" s="36" t="str">
        <f t="shared" si="1"/>
        <v/>
      </c>
      <c r="I10" s="36"/>
    </row>
    <row r="11">
      <c r="G11" s="36" t="str">
        <f t="shared" si="1"/>
        <v/>
      </c>
      <c r="I11" s="36"/>
    </row>
    <row r="12">
      <c r="G12" s="36" t="str">
        <f t="shared" si="1"/>
        <v/>
      </c>
      <c r="I12" s="36"/>
    </row>
    <row r="13">
      <c r="G13" s="36" t="str">
        <f t="shared" si="1"/>
        <v/>
      </c>
      <c r="I13" s="36"/>
    </row>
    <row r="14">
      <c r="G14" s="36" t="str">
        <f t="shared" si="1"/>
        <v/>
      </c>
      <c r="I14" s="36"/>
    </row>
    <row r="15">
      <c r="G15" s="36" t="str">
        <f t="shared" si="1"/>
        <v/>
      </c>
      <c r="I15" s="36"/>
    </row>
    <row r="16">
      <c r="G16" s="36" t="str">
        <f t="shared" si="1"/>
        <v/>
      </c>
      <c r="I16" s="36"/>
    </row>
    <row r="17">
      <c r="G17" s="36" t="str">
        <f t="shared" si="1"/>
        <v/>
      </c>
      <c r="I17" s="36"/>
    </row>
    <row r="18">
      <c r="G18" s="36" t="str">
        <f t="shared" si="1"/>
        <v/>
      </c>
      <c r="I18" s="36"/>
    </row>
    <row r="19">
      <c r="G19" s="36" t="str">
        <f t="shared" si="1"/>
        <v/>
      </c>
      <c r="I19" s="36"/>
    </row>
    <row r="20">
      <c r="G20" s="36" t="str">
        <f t="shared" si="1"/>
        <v/>
      </c>
      <c r="I20" s="36"/>
    </row>
    <row r="21">
      <c r="G21" s="36" t="str">
        <f t="shared" si="1"/>
        <v/>
      </c>
      <c r="I21" s="36"/>
    </row>
    <row r="22">
      <c r="G22" s="36" t="str">
        <f t="shared" si="1"/>
        <v/>
      </c>
      <c r="I22" s="36"/>
    </row>
    <row r="23">
      <c r="G23" s="36" t="str">
        <f t="shared" si="1"/>
        <v/>
      </c>
      <c r="I23" s="36"/>
    </row>
    <row r="24">
      <c r="G24" s="36" t="str">
        <f t="shared" si="1"/>
        <v/>
      </c>
      <c r="I24" s="36"/>
    </row>
    <row r="25">
      <c r="G25" s="36" t="str">
        <f t="shared" si="1"/>
        <v/>
      </c>
      <c r="I25" s="36"/>
    </row>
    <row r="26">
      <c r="G26" s="36" t="str">
        <f t="shared" si="1"/>
        <v/>
      </c>
      <c r="I26" s="36"/>
    </row>
    <row r="27">
      <c r="G27" s="36" t="str">
        <f t="shared" si="1"/>
        <v/>
      </c>
      <c r="I27" s="36"/>
    </row>
    <row r="28">
      <c r="G28" s="36" t="str">
        <f t="shared" si="1"/>
        <v/>
      </c>
      <c r="I28" s="36"/>
    </row>
    <row r="29">
      <c r="G29" s="36" t="str">
        <f t="shared" si="1"/>
        <v/>
      </c>
      <c r="I29" s="36"/>
    </row>
    <row r="30">
      <c r="G30" s="36" t="str">
        <f t="shared" si="1"/>
        <v/>
      </c>
      <c r="I30" s="36"/>
    </row>
    <row r="31">
      <c r="G31" s="36" t="str">
        <f t="shared" si="1"/>
        <v/>
      </c>
      <c r="I31" s="36"/>
    </row>
    <row r="32">
      <c r="G32" s="36" t="str">
        <f t="shared" si="1"/>
        <v/>
      </c>
      <c r="I32" s="36"/>
    </row>
    <row r="33">
      <c r="G33" s="36" t="str">
        <f t="shared" si="1"/>
        <v/>
      </c>
      <c r="I33" s="36"/>
    </row>
    <row r="34">
      <c r="G34" s="36" t="str">
        <f t="shared" si="1"/>
        <v/>
      </c>
      <c r="I34" s="36"/>
    </row>
    <row r="35">
      <c r="G35" s="36" t="str">
        <f t="shared" si="1"/>
        <v/>
      </c>
      <c r="I35" s="36"/>
    </row>
    <row r="36">
      <c r="G36" s="36" t="str">
        <f t="shared" si="1"/>
        <v/>
      </c>
      <c r="I36" s="36"/>
    </row>
    <row r="37">
      <c r="G37" s="36" t="str">
        <f t="shared" si="1"/>
        <v/>
      </c>
      <c r="I37" s="36"/>
    </row>
    <row r="38">
      <c r="G38" s="36" t="str">
        <f t="shared" si="1"/>
        <v/>
      </c>
      <c r="I38" s="36"/>
    </row>
    <row r="39">
      <c r="G39" s="36" t="str">
        <f t="shared" si="1"/>
        <v/>
      </c>
      <c r="I39" s="36"/>
    </row>
    <row r="40">
      <c r="G40" s="36" t="str">
        <f t="shared" si="1"/>
        <v/>
      </c>
      <c r="I40" s="36"/>
    </row>
    <row r="41">
      <c r="G41" s="36" t="str">
        <f t="shared" si="1"/>
        <v/>
      </c>
      <c r="I41" s="36"/>
    </row>
    <row r="42">
      <c r="G42" s="36" t="str">
        <f t="shared" si="1"/>
        <v/>
      </c>
      <c r="I42" s="36"/>
    </row>
    <row r="43">
      <c r="G43" s="36" t="str">
        <f t="shared" si="1"/>
        <v/>
      </c>
      <c r="I43" s="36"/>
    </row>
    <row r="44">
      <c r="G44" s="36" t="str">
        <f t="shared" si="1"/>
        <v/>
      </c>
      <c r="I44" s="36"/>
    </row>
    <row r="45">
      <c r="G45" s="36" t="str">
        <f t="shared" si="1"/>
        <v/>
      </c>
      <c r="I45" s="36"/>
    </row>
    <row r="46">
      <c r="G46" s="36" t="str">
        <f t="shared" si="1"/>
        <v/>
      </c>
      <c r="I46" s="36"/>
    </row>
    <row r="47">
      <c r="G47" s="36" t="str">
        <f t="shared" si="1"/>
        <v/>
      </c>
      <c r="I47" s="36"/>
    </row>
    <row r="48">
      <c r="G48" s="36" t="str">
        <f t="shared" si="1"/>
        <v/>
      </c>
      <c r="I48" s="36"/>
    </row>
    <row r="49">
      <c r="G49" s="36" t="str">
        <f t="shared" si="1"/>
        <v/>
      </c>
      <c r="I49" s="36"/>
    </row>
    <row r="50">
      <c r="G50" s="36" t="str">
        <f t="shared" si="1"/>
        <v/>
      </c>
      <c r="I50" s="36"/>
    </row>
    <row r="51">
      <c r="G51" s="36" t="str">
        <f t="shared" si="1"/>
        <v/>
      </c>
      <c r="I51" s="36"/>
    </row>
    <row r="52">
      <c r="G52" s="36" t="str">
        <f t="shared" si="1"/>
        <v/>
      </c>
      <c r="I52" s="36"/>
    </row>
    <row r="53">
      <c r="G53" s="36" t="str">
        <f t="shared" si="1"/>
        <v/>
      </c>
      <c r="I53" s="36"/>
    </row>
    <row r="54">
      <c r="G54" s="36" t="str">
        <f t="shared" si="1"/>
        <v/>
      </c>
      <c r="I54" s="36"/>
    </row>
    <row r="55">
      <c r="G55" s="36" t="str">
        <f t="shared" si="1"/>
        <v/>
      </c>
      <c r="I55" s="36"/>
    </row>
    <row r="56">
      <c r="G56" s="36" t="str">
        <f t="shared" si="1"/>
        <v/>
      </c>
      <c r="I56" s="36"/>
    </row>
    <row r="57">
      <c r="G57" s="36" t="str">
        <f t="shared" si="1"/>
        <v/>
      </c>
      <c r="I57" s="36"/>
    </row>
    <row r="58">
      <c r="G58" s="36" t="str">
        <f t="shared" si="1"/>
        <v/>
      </c>
      <c r="I58" s="36"/>
    </row>
    <row r="59">
      <c r="G59" s="36" t="str">
        <f t="shared" si="1"/>
        <v/>
      </c>
      <c r="I59" s="36"/>
    </row>
    <row r="60">
      <c r="G60" s="36" t="str">
        <f t="shared" si="1"/>
        <v/>
      </c>
      <c r="I60" s="36"/>
    </row>
    <row r="61">
      <c r="G61" s="36" t="str">
        <f t="shared" si="1"/>
        <v/>
      </c>
      <c r="I61" s="36"/>
    </row>
    <row r="62">
      <c r="G62" s="36" t="str">
        <f t="shared" si="1"/>
        <v/>
      </c>
      <c r="I62" s="36"/>
    </row>
    <row r="63">
      <c r="G63" s="36" t="str">
        <f t="shared" si="1"/>
        <v/>
      </c>
      <c r="I63" s="36"/>
    </row>
    <row r="64">
      <c r="G64" s="36" t="str">
        <f t="shared" si="1"/>
        <v/>
      </c>
      <c r="I64" s="36"/>
    </row>
    <row r="65">
      <c r="G65" s="36" t="str">
        <f t="shared" si="1"/>
        <v/>
      </c>
      <c r="I65" s="36"/>
    </row>
    <row r="66">
      <c r="G66" s="36" t="str">
        <f t="shared" si="1"/>
        <v/>
      </c>
      <c r="I66" s="36"/>
    </row>
    <row r="67">
      <c r="G67" s="36" t="str">
        <f t="shared" si="1"/>
        <v/>
      </c>
      <c r="I67" s="36"/>
    </row>
    <row r="68">
      <c r="G68" s="36" t="str">
        <f t="shared" si="1"/>
        <v/>
      </c>
      <c r="I68" s="36"/>
    </row>
    <row r="69">
      <c r="G69" s="36" t="str">
        <f t="shared" si="1"/>
        <v/>
      </c>
      <c r="I69" s="36"/>
    </row>
    <row r="70">
      <c r="G70" s="36" t="str">
        <f t="shared" si="1"/>
        <v/>
      </c>
      <c r="I70" s="36"/>
    </row>
    <row r="71">
      <c r="G71" s="36" t="str">
        <f t="shared" si="1"/>
        <v/>
      </c>
      <c r="I71" s="36"/>
    </row>
    <row r="72">
      <c r="G72" s="36" t="str">
        <f t="shared" si="1"/>
        <v/>
      </c>
      <c r="I72" s="36"/>
    </row>
    <row r="73">
      <c r="G73" s="36" t="str">
        <f t="shared" si="1"/>
        <v/>
      </c>
      <c r="I73" s="36"/>
    </row>
    <row r="74">
      <c r="G74" s="36" t="str">
        <f t="shared" si="1"/>
        <v/>
      </c>
      <c r="I74" s="36"/>
    </row>
    <row r="75">
      <c r="G75" s="36" t="str">
        <f t="shared" si="1"/>
        <v/>
      </c>
      <c r="I75" s="36"/>
    </row>
    <row r="76">
      <c r="G76" s="36" t="str">
        <f t="shared" si="1"/>
        <v/>
      </c>
      <c r="I76" s="36"/>
    </row>
    <row r="77">
      <c r="G77" s="36" t="str">
        <f t="shared" si="1"/>
        <v/>
      </c>
      <c r="I77" s="36"/>
    </row>
    <row r="78">
      <c r="G78" s="36" t="str">
        <f t="shared" si="1"/>
        <v/>
      </c>
      <c r="I78" s="36"/>
    </row>
    <row r="79">
      <c r="G79" s="36" t="str">
        <f t="shared" si="1"/>
        <v/>
      </c>
      <c r="I79" s="36"/>
    </row>
    <row r="80">
      <c r="G80" s="36" t="str">
        <f t="shared" si="1"/>
        <v/>
      </c>
      <c r="I80" s="36"/>
    </row>
    <row r="81">
      <c r="G81" s="36" t="str">
        <f t="shared" si="1"/>
        <v/>
      </c>
      <c r="I81" s="36"/>
    </row>
    <row r="82">
      <c r="G82" s="36" t="str">
        <f t="shared" si="1"/>
        <v/>
      </c>
      <c r="I82" s="36"/>
    </row>
    <row r="83">
      <c r="G83" s="36" t="str">
        <f t="shared" si="1"/>
        <v/>
      </c>
      <c r="I83" s="36"/>
    </row>
    <row r="84">
      <c r="G84" s="36" t="str">
        <f t="shared" si="1"/>
        <v/>
      </c>
      <c r="I84" s="36"/>
    </row>
    <row r="85">
      <c r="G85" s="36" t="str">
        <f t="shared" si="1"/>
        <v/>
      </c>
      <c r="I85" s="36"/>
    </row>
    <row r="86">
      <c r="G86" s="36" t="str">
        <f t="shared" si="1"/>
        <v/>
      </c>
      <c r="I86" s="36"/>
    </row>
    <row r="87">
      <c r="G87" s="36" t="str">
        <f t="shared" si="1"/>
        <v/>
      </c>
      <c r="I87" s="36"/>
    </row>
    <row r="88">
      <c r="G88" s="36" t="str">
        <f t="shared" si="1"/>
        <v/>
      </c>
      <c r="I88" s="36"/>
    </row>
    <row r="89">
      <c r="G89" s="36" t="str">
        <f t="shared" si="1"/>
        <v/>
      </c>
      <c r="I89" s="36"/>
    </row>
    <row r="90">
      <c r="G90" s="36" t="str">
        <f t="shared" si="1"/>
        <v/>
      </c>
      <c r="I90" s="36"/>
    </row>
    <row r="91">
      <c r="G91" s="36" t="str">
        <f t="shared" si="1"/>
        <v/>
      </c>
      <c r="I91" s="36"/>
    </row>
    <row r="92">
      <c r="G92" s="36" t="str">
        <f t="shared" si="1"/>
        <v/>
      </c>
      <c r="I92" s="36"/>
    </row>
    <row r="93">
      <c r="G93" s="36" t="str">
        <f t="shared" si="1"/>
        <v/>
      </c>
      <c r="I93" s="36"/>
    </row>
    <row r="94">
      <c r="G94" s="36" t="str">
        <f t="shared" si="1"/>
        <v/>
      </c>
      <c r="I94" s="36"/>
    </row>
    <row r="95">
      <c r="G95" s="36" t="str">
        <f t="shared" si="1"/>
        <v/>
      </c>
      <c r="I95" s="36"/>
    </row>
    <row r="96">
      <c r="G96" s="36" t="str">
        <f t="shared" si="1"/>
        <v/>
      </c>
      <c r="I96" s="36"/>
    </row>
    <row r="97">
      <c r="G97" s="36" t="str">
        <f t="shared" si="1"/>
        <v/>
      </c>
      <c r="I97" s="36"/>
    </row>
    <row r="98">
      <c r="G98" s="36" t="str">
        <f t="shared" si="1"/>
        <v/>
      </c>
      <c r="I98" s="36"/>
    </row>
    <row r="99">
      <c r="G99" s="36" t="str">
        <f t="shared" si="1"/>
        <v/>
      </c>
      <c r="I99" s="36"/>
    </row>
    <row r="100">
      <c r="G100" s="36" t="str">
        <f t="shared" si="1"/>
        <v/>
      </c>
      <c r="I100" s="36"/>
    </row>
    <row r="101">
      <c r="G101" s="36" t="str">
        <f t="shared" si="1"/>
        <v/>
      </c>
      <c r="I101" s="36"/>
    </row>
    <row r="102">
      <c r="G102" s="36" t="str">
        <f t="shared" si="1"/>
        <v/>
      </c>
      <c r="I102" s="36"/>
    </row>
    <row r="103">
      <c r="I103" s="36"/>
    </row>
    <row r="104">
      <c r="I104" s="36"/>
    </row>
    <row r="105">
      <c r="I105" s="36"/>
    </row>
    <row r="106">
      <c r="I106" s="36"/>
    </row>
  </sheetData>
  <dataValidations>
    <dataValidation type="list" allowBlank="1" showErrorMessage="1" sqref="I4:I106">
      <formula1>"COMPLETED,CANCELLED,MISSED"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